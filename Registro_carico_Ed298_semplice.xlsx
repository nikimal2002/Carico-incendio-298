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uazione" sheetId="1" state="visible" r:id="rId3"/>
    <sheet name="Movimenti" sheetId="2" state="visible" r:id="rId4"/>
    <sheet name="Material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<sst xmlns="http://schemas.openxmlformats.org/spreadsheetml/2006/main" count="63" uniqueCount="52">
  <si>
    <t xml:space="preserve">Carico d'incendio – Edificio 298</t>
  </si>
  <si>
    <t xml:space="preserve">Le celle gialle si compilano. Il resto si calcola da solo dal foglio Movimenti (incolla lì il registro scaricato dall'app).</t>
  </si>
  <si>
    <t xml:space="preserve">Soglia di attenzione:</t>
  </si>
  <si>
    <t xml:space="preserve">Locale</t>
  </si>
  <si>
    <t xml:space="preserve">Gestore</t>
  </si>
  <si>
    <t xml:space="preserve">Limite (MJ)</t>
  </si>
  <si>
    <t xml:space="preserve">Carico iniziale (MJ)</t>
  </si>
  <si>
    <t xml:space="preserve">Carico attuale (MJ)</t>
  </si>
  <si>
    <t xml:space="preserve">% sul limite</t>
  </si>
  <si>
    <t xml:space="preserve">Stato</t>
  </si>
  <si>
    <t xml:space="preserve">Margine (MJ)</t>
  </si>
  <si>
    <t xml:space="preserve">Capannetta 1</t>
  </si>
  <si>
    <t xml:space="preserve">Fincantieri</t>
  </si>
  <si>
    <t xml:space="preserve">Ex loc. tecnico 1-2</t>
  </si>
  <si>
    <t xml:space="preserve">Capannetta 2</t>
  </si>
  <si>
    <t xml:space="preserve">Capannetta 3</t>
  </si>
  <si>
    <t xml:space="preserve">Ex loc. tecnico 3-4</t>
  </si>
  <si>
    <t xml:space="preserve">Ditta esterna</t>
  </si>
  <si>
    <t xml:space="preserve">Capannetta 4</t>
  </si>
  <si>
    <t xml:space="preserve">Note</t>
  </si>
  <si>
    <t xml:space="preserve">• Limiti = valore più restrittivo tra tabella §5.2 della relazione e ricalcolo con q_f,d ≤ 300 MJ/m² (da confermare con il progettista).</t>
  </si>
  <si>
    <t xml:space="preserve">• Carico iniziale = scenario della relazione (cap. 3). Sostituire con l'inventario reale; Ex loc. tecnico 3-4 e Capannetta 4 da rilevare.</t>
  </si>
  <si>
    <t xml:space="preserve">• Capannetta 1: solo scaffalature, nessuno stoccaggio a terra (già vicina al limite).</t>
  </si>
  <si>
    <t xml:space="preserve">Data</t>
  </si>
  <si>
    <t xml:space="preserve">Ora</t>
  </si>
  <si>
    <t xml:space="preserve">Codice</t>
  </si>
  <si>
    <t xml:space="preserve">Materiale</t>
  </si>
  <si>
    <t xml:space="preserve">Tipo</t>
  </si>
  <si>
    <t xml:space="preserve">Quantità</t>
  </si>
  <si>
    <t xml:space="preserve">MJ/unità</t>
  </si>
  <si>
    <t xml:space="preserve">MJ</t>
  </si>
  <si>
    <t xml:space="preserve">Rif. DDT</t>
  </si>
  <si>
    <t xml:space="preserve">Operatore</t>
  </si>
  <si>
    <t xml:space="preserve">Descrizione</t>
  </si>
  <si>
    <t xml:space="preserve">MJ per unità</t>
  </si>
  <si>
    <t xml:space="preserve">Fonte</t>
  </si>
  <si>
    <t xml:space="preserve">P-SCAF</t>
  </si>
  <si>
    <t xml:space="preserve">Pallet su scaffale (pallet legno + scatole)</t>
  </si>
  <si>
    <t xml:space="preserve">Relazione cap. 3</t>
  </si>
  <si>
    <t xml:space="preserve">P-PES</t>
  </si>
  <si>
    <t xml:space="preserve">Pallet pesante a terra (legno, cartone, film)</t>
  </si>
  <si>
    <t xml:space="preserve">TUBI</t>
  </si>
  <si>
    <t xml:space="preserve">Pacco tubi con gabbia in legno</t>
  </si>
  <si>
    <t xml:space="preserve">ASC-PAL</t>
  </si>
  <si>
    <t xml:space="preserve">Ascensori: pallet componenti in cartone</t>
  </si>
  <si>
    <t xml:space="preserve">Stima – verificare con la ditta</t>
  </si>
  <si>
    <t xml:space="preserve">ASC-CASSA</t>
  </si>
  <si>
    <t xml:space="preserve">Ascensori: cassa in legno</t>
  </si>
  <si>
    <t xml:space="preserve">ASC-PLAST</t>
  </si>
  <si>
    <t xml:space="preserve">Ascensori: pallet pannelli in plastica</t>
  </si>
  <si>
    <t xml:space="preserve">ASC-CAVO</t>
  </si>
  <si>
    <t xml:space="preserve">Ascensori: bobina cavi elettrici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</si>
</sst>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.0%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4E8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D4E8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0.85</v>
      </c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s">
        <v>11</v>
      </c>
      <c r="B6" s="7" t="s">
        <v>12</v>
      </c>
      <c r="C6" s="8" t="n">
        <v>374000</v>
      </c>
      <c r="D6" s="8" t="n">
        <v>372094</v>
      </c>
      <c r="E6" s="9" t="n">
        <f aca="false">MAX(0,D6+SUMIFS(Movimenti!$I:$I,Movimenti!$C:$C,A6))</f>
        <v>372094</v>
      </c>
      <c r="F6" s="10" t="n">
        <f aca="false">IF(C6=0,0,E6/C6)</f>
        <v>0.994903743315508</v>
      </c>
      <c r="G6" s="7" t="str">
        <f aca="false">IF(F6&gt;1,"OLTRE IL LIMITE",IF(F6&gt;=$C$3,"Vicino al limite","Entro i limiti"))</f>
        <v>Vicino al limite</v>
      </c>
      <c r="H6" s="9" t="n">
        <f aca="false">MAX(0,C6-E6)</f>
        <v>1906</v>
      </c>
    </row>
    <row r="7" customFormat="false" ht="15" hidden="false" customHeight="false" outlineLevel="0" collapsed="false">
      <c r="A7" s="6" t="s">
        <v>13</v>
      </c>
      <c r="B7" s="7" t="s">
        <v>12</v>
      </c>
      <c r="C7" s="8" t="n">
        <v>185000</v>
      </c>
      <c r="D7" s="8" t="n">
        <v>119588</v>
      </c>
      <c r="E7" s="9" t="n">
        <f aca="false">MAX(0,D7+SUMIFS(Movimenti!$I:$I,Movimenti!$C:$C,A7))</f>
        <v>119588</v>
      </c>
      <c r="F7" s="10" t="n">
        <f aca="false">IF(C7=0,0,E7/C7)</f>
        <v>0.646421621621622</v>
      </c>
      <c r="G7" s="7" t="str">
        <f aca="false">IF(F7&gt;1,"OLTRE IL LIMITE",IF(F7&gt;=$C$3,"Vicino al limite","Entro i limiti"))</f>
        <v>Entro i limiti</v>
      </c>
      <c r="H7" s="9" t="n">
        <f aca="false">MAX(0,C7-E7)</f>
        <v>65412</v>
      </c>
    </row>
    <row r="8" customFormat="false" ht="15" hidden="false" customHeight="false" outlineLevel="0" collapsed="false">
      <c r="A8" s="6" t="s">
        <v>14</v>
      </c>
      <c r="B8" s="7" t="s">
        <v>12</v>
      </c>
      <c r="C8" s="8" t="n">
        <v>363000</v>
      </c>
      <c r="D8" s="8" t="n">
        <v>152250</v>
      </c>
      <c r="E8" s="9" t="n">
        <f aca="false">MAX(0,D8+SUMIFS(Movimenti!$I:$I,Movimenti!$C:$C,A8))</f>
        <v>152250</v>
      </c>
      <c r="F8" s="10" t="n">
        <f aca="false">IF(C8=0,0,E8/C8)</f>
        <v>0.419421487603306</v>
      </c>
      <c r="G8" s="7" t="str">
        <f aca="false">IF(F8&gt;1,"OLTRE IL LIMITE",IF(F8&gt;=$C$3,"Vicino al limite","Entro i limiti"))</f>
        <v>Entro i limiti</v>
      </c>
      <c r="H8" s="9" t="n">
        <f aca="false">MAX(0,C8-E8)</f>
        <v>210750</v>
      </c>
    </row>
    <row r="9" customFormat="false" ht="15" hidden="false" customHeight="false" outlineLevel="0" collapsed="false">
      <c r="A9" s="6" t="s">
        <v>15</v>
      </c>
      <c r="B9" s="7" t="s">
        <v>12</v>
      </c>
      <c r="C9" s="8" t="n">
        <v>375000</v>
      </c>
      <c r="D9" s="8" t="n">
        <v>220500</v>
      </c>
      <c r="E9" s="9" t="n">
        <f aca="false">MAX(0,D9+SUMIFS(Movimenti!$I:$I,Movimenti!$C:$C,A9))</f>
        <v>220500</v>
      </c>
      <c r="F9" s="10" t="n">
        <f aca="false">IF(C9=0,0,E9/C9)</f>
        <v>0.588</v>
      </c>
      <c r="G9" s="7" t="str">
        <f aca="false">IF(F9&gt;1,"OLTRE IL LIMITE",IF(F9&gt;=$C$3,"Vicino al limite","Entro i limiti"))</f>
        <v>Entro i limiti</v>
      </c>
      <c r="H9" s="9" t="n">
        <f aca="false">MAX(0,C9-E9)</f>
        <v>154500</v>
      </c>
    </row>
    <row r="10" customFormat="false" ht="15" hidden="false" customHeight="false" outlineLevel="0" collapsed="false">
      <c r="A10" s="6" t="s">
        <v>16</v>
      </c>
      <c r="B10" s="7" t="s">
        <v>17</v>
      </c>
      <c r="C10" s="8" t="n">
        <v>220000</v>
      </c>
      <c r="D10" s="8" t="n">
        <v>0</v>
      </c>
      <c r="E10" s="9" t="n">
        <f aca="false">MAX(0,D10+SUMIFS(Movimenti!$I:$I,Movimenti!$C:$C,A10))</f>
        <v>0</v>
      </c>
      <c r="F10" s="10" t="n">
        <f aca="false">IF(C10=0,0,E10/C10)</f>
        <v>0</v>
      </c>
      <c r="G10" s="7" t="str">
        <f aca="false">IF(F10&gt;1,"OLTRE IL LIMITE",IF(F10&gt;=$C$3,"Vicino al limite","Entro i limiti"))</f>
        <v>Entro i limiti</v>
      </c>
      <c r="H10" s="9" t="n">
        <f aca="false">MAX(0,C10-E10)</f>
        <v>220000</v>
      </c>
    </row>
    <row r="11" customFormat="false" ht="15" hidden="false" customHeight="false" outlineLevel="0" collapsed="false">
      <c r="A11" s="6" t="s">
        <v>18</v>
      </c>
      <c r="B11" s="7" t="s">
        <v>17</v>
      </c>
      <c r="C11" s="8" t="n">
        <v>375000</v>
      </c>
      <c r="D11" s="8" t="n">
        <v>0</v>
      </c>
      <c r="E11" s="9" t="n">
        <f aca="false">MAX(0,D11+SUMIFS(Movimenti!$I:$I,Movimenti!$C:$C,A11))</f>
        <v>0</v>
      </c>
      <c r="F11" s="10" t="n">
        <f aca="false">IF(C11=0,0,E11/C11)</f>
        <v>0</v>
      </c>
      <c r="G11" s="7" t="str">
        <f aca="false">IF(F11&gt;1,"OLTRE IL LIMITE",IF(F11&gt;=$C$3,"Vicino al limite","Entro i limiti"))</f>
        <v>Entro i limiti</v>
      </c>
      <c r="H11" s="9" t="n">
        <f aca="false">MAX(0,C11-E11)</f>
        <v>375000</v>
      </c>
    </row>
    <row r="13" customFormat="false" ht="15" hidden="false" customHeight="false" outlineLevel="0" collapsed="false">
      <c r="A13" s="3" t="s">
        <v>19</v>
      </c>
    </row>
    <row r="14" customFormat="false" ht="15" hidden="false" customHeight="false" outlineLevel="0" collapsed="false">
      <c r="A14" s="11" t="s">
        <v>20</v>
      </c>
    </row>
    <row r="15" customFormat="false" ht="15" hidden="false" customHeight="false" outlineLevel="0" collapsed="false">
      <c r="A15" s="11" t="s">
        <v>21</v>
      </c>
    </row>
    <row r="16" customFormat="false" ht="15" hidden="false" customHeight="false" outlineLevel="0" collapsed="false">
      <c r="A16" s="11" t="s">
        <v>22</v>
      </c>
    </row>
  </sheetData>
  <conditionalFormatting sqref="G6:G11">
    <cfRule type="expression" priority="2" aboveAverage="0" equalAverage="0" bottom="0" percent="0" rank="0" text="" dxfId="0">
      <formula>$F6&gt;1</formula>
    </cfRule>
    <cfRule type="expression" priority="3" aboveAverage="0" equalAverage="0" bottom="0" percent="0" rank="0" text="" dxfId="1">
      <formula>AND($F6&gt;=$C$3,$F6&lt;=1)</formula>
    </cfRule>
    <cfRule type="expression" priority="4" aboveAverage="0" equalAverage="0" bottom="0" percent="0" rank="0" text="" dxfId="2">
      <formula>$F6&lt;$C$3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8" min="6" style="0" width="9"/>
    <col collapsed="false" customWidth="true" hidden="false" outlineLevel="0" max="9" min="9" style="0" width="10"/>
    <col collapsed="false" customWidth="true" hidden="false" outlineLevel="0" max="11" min="10" style="0" width="20"/>
  </cols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3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</row>
    <row r="2" customFormat="false" ht="15" hidden="false" customHeight="false" outlineLevel="0" collapsed="false">
      <c r="A2" s="12"/>
      <c r="B2" s="13"/>
      <c r="C2" s="13"/>
      <c r="D2" s="13"/>
      <c r="E2" s="7" t="str">
        <f aca="false">IF(D2="","",IFERROR(INDEX(Materiali!$B:$B,MATCH(D2,Materiali!$A:$A,0)),"codice?"))</f>
        <v/>
      </c>
      <c r="F2" s="13"/>
      <c r="G2" s="13"/>
      <c r="H2" s="9" t="str">
        <f aca="false">IF(D2="","",IFERROR(INDEX(Materiali!$C:$C,MATCH(D2,Materiali!$A:$A,0)),0))</f>
        <v/>
      </c>
      <c r="I2" s="9" t="str">
        <f aca="false">IF(OR(G2="",H2=""),"",IF(F2="Uscita",-1,1)*G2*H2)</f>
        <v/>
      </c>
      <c r="J2" s="13"/>
      <c r="K2" s="13"/>
    </row>
    <row r="3" customFormat="false" ht="15" hidden="false" customHeight="false" outlineLevel="0" collapsed="false">
      <c r="A3" s="12"/>
      <c r="B3" s="13"/>
      <c r="C3" s="13"/>
      <c r="D3" s="13"/>
      <c r="E3" s="7" t="str">
        <f aca="false">IF(D3="","",IFERROR(INDEX(Materiali!$B:$B,MATCH(D3,Materiali!$A:$A,0)),"codice?"))</f>
        <v/>
      </c>
      <c r="F3" s="13"/>
      <c r="G3" s="13"/>
      <c r="H3" s="9" t="str">
        <f aca="false">IF(D3="","",IFERROR(INDEX(Materiali!$C:$C,MATCH(D3,Materiali!$A:$A,0)),0))</f>
        <v/>
      </c>
      <c r="I3" s="9" t="str">
        <f aca="false">IF(OR(G3="",H3=""),"",IF(F3="Uscita",-1,1)*G3*H3)</f>
        <v/>
      </c>
      <c r="J3" s="13"/>
      <c r="K3" s="13"/>
    </row>
    <row r="4" customFormat="false" ht="15" hidden="false" customHeight="false" outlineLevel="0" collapsed="false">
      <c r="A4" s="12"/>
      <c r="B4" s="13"/>
      <c r="C4" s="13"/>
      <c r="D4" s="13"/>
      <c r="E4" s="7" t="str">
        <f aca="false">IF(D4="","",IFERROR(INDEX(Materiali!$B:$B,MATCH(D4,Materiali!$A:$A,0)),"codice?"))</f>
        <v/>
      </c>
      <c r="F4" s="13"/>
      <c r="G4" s="13"/>
      <c r="H4" s="9" t="str">
        <f aca="false">IF(D4="","",IFERROR(INDEX(Materiali!$C:$C,MATCH(D4,Materiali!$A:$A,0)),0))</f>
        <v/>
      </c>
      <c r="I4" s="9" t="str">
        <f aca="false">IF(OR(G4="",H4=""),"",IF(F4="Uscita",-1,1)*G4*H4)</f>
        <v/>
      </c>
      <c r="J4" s="13"/>
      <c r="K4" s="13"/>
    </row>
    <row r="5" customFormat="false" ht="15" hidden="false" customHeight="false" outlineLevel="0" collapsed="false">
      <c r="A5" s="12"/>
      <c r="B5" s="13"/>
      <c r="C5" s="13"/>
      <c r="D5" s="13"/>
      <c r="E5" s="7" t="str">
        <f aca="false">IF(D5="","",IFERROR(INDEX(Materiali!$B:$B,MATCH(D5,Materiali!$A:$A,0)),"codice?"))</f>
        <v/>
      </c>
      <c r="F5" s="13"/>
      <c r="G5" s="13"/>
      <c r="H5" s="9" t="str">
        <f aca="false">IF(D5="","",IFERROR(INDEX(Materiali!$C:$C,MATCH(D5,Materiali!$A:$A,0)),0))</f>
        <v/>
      </c>
      <c r="I5" s="9" t="str">
        <f aca="false">IF(OR(G5="",H5=""),"",IF(F5="Uscita",-1,1)*G5*H5)</f>
        <v/>
      </c>
      <c r="J5" s="13"/>
      <c r="K5" s="13"/>
    </row>
    <row r="6" customFormat="false" ht="15" hidden="false" customHeight="false" outlineLevel="0" collapsed="false">
      <c r="A6" s="12"/>
      <c r="B6" s="13"/>
      <c r="C6" s="13"/>
      <c r="D6" s="13"/>
      <c r="E6" s="7" t="str">
        <f aca="false">IF(D6="","",IFERROR(INDEX(Materiali!$B:$B,MATCH(D6,Materiali!$A:$A,0)),"codice?"))</f>
        <v/>
      </c>
      <c r="F6" s="13"/>
      <c r="G6" s="13"/>
      <c r="H6" s="9" t="str">
        <f aca="false">IF(D6="","",IFERROR(INDEX(Materiali!$C:$C,MATCH(D6,Materiali!$A:$A,0)),0))</f>
        <v/>
      </c>
      <c r="I6" s="9" t="str">
        <f aca="false">IF(OR(G6="",H6=""),"",IF(F6="Uscita",-1,1)*G6*H6)</f>
        <v/>
      </c>
      <c r="J6" s="13"/>
      <c r="K6" s="13"/>
    </row>
    <row r="7" customFormat="false" ht="15" hidden="false" customHeight="false" outlineLevel="0" collapsed="false">
      <c r="A7" s="12"/>
      <c r="B7" s="13"/>
      <c r="C7" s="13"/>
      <c r="D7" s="13"/>
      <c r="E7" s="7" t="str">
        <f aca="false">IF(D7="","",IFERROR(INDEX(Materiali!$B:$B,MATCH(D7,Materiali!$A:$A,0)),"codice?"))</f>
        <v/>
      </c>
      <c r="F7" s="13"/>
      <c r="G7" s="13"/>
      <c r="H7" s="9" t="str">
        <f aca="false">IF(D7="","",IFERROR(INDEX(Materiali!$C:$C,MATCH(D7,Materiali!$A:$A,0)),0))</f>
        <v/>
      </c>
      <c r="I7" s="9" t="str">
        <f aca="false">IF(OR(G7="",H7=""),"",IF(F7="Uscita",-1,1)*G7*H7)</f>
        <v/>
      </c>
      <c r="J7" s="13"/>
      <c r="K7" s="13"/>
    </row>
    <row r="8" customFormat="false" ht="15" hidden="false" customHeight="false" outlineLevel="0" collapsed="false">
      <c r="A8" s="12"/>
      <c r="B8" s="13"/>
      <c r="C8" s="13"/>
      <c r="D8" s="13"/>
      <c r="E8" s="7" t="str">
        <f aca="false">IF(D8="","",IFERROR(INDEX(Materiali!$B:$B,MATCH(D8,Materiali!$A:$A,0)),"codice?"))</f>
        <v/>
      </c>
      <c r="F8" s="13"/>
      <c r="G8" s="13"/>
      <c r="H8" s="9" t="str">
        <f aca="false">IF(D8="","",IFERROR(INDEX(Materiali!$C:$C,MATCH(D8,Materiali!$A:$A,0)),0))</f>
        <v/>
      </c>
      <c r="I8" s="9" t="str">
        <f aca="false">IF(OR(G8="",H8=""),"",IF(F8="Uscita",-1,1)*G8*H8)</f>
        <v/>
      </c>
      <c r="J8" s="13"/>
      <c r="K8" s="13"/>
    </row>
    <row r="9" customFormat="false" ht="15" hidden="false" customHeight="false" outlineLevel="0" collapsed="false">
      <c r="A9" s="12"/>
      <c r="B9" s="13"/>
      <c r="C9" s="13"/>
      <c r="D9" s="13"/>
      <c r="E9" s="7" t="str">
        <f aca="false">IF(D9="","",IFERROR(INDEX(Materiali!$B:$B,MATCH(D9,Materiali!$A:$A,0)),"codice?"))</f>
        <v/>
      </c>
      <c r="F9" s="13"/>
      <c r="G9" s="13"/>
      <c r="H9" s="9" t="str">
        <f aca="false">IF(D9="","",IFERROR(INDEX(Materiali!$C:$C,MATCH(D9,Materiali!$A:$A,0)),0))</f>
        <v/>
      </c>
      <c r="I9" s="9" t="str">
        <f aca="false">IF(OR(G9="",H9=""),"",IF(F9="Uscita",-1,1)*G9*H9)</f>
        <v/>
      </c>
      <c r="J9" s="13"/>
      <c r="K9" s="13"/>
    </row>
    <row r="10" customFormat="false" ht="15" hidden="false" customHeight="false" outlineLevel="0" collapsed="false">
      <c r="A10" s="12"/>
      <c r="B10" s="13"/>
      <c r="C10" s="13"/>
      <c r="D10" s="13"/>
      <c r="E10" s="7" t="str">
        <f aca="false">IF(D10="","",IFERROR(INDEX(Materiali!$B:$B,MATCH(D10,Materiali!$A:$A,0)),"codice?"))</f>
        <v/>
      </c>
      <c r="F10" s="13"/>
      <c r="G10" s="13"/>
      <c r="H10" s="9" t="str">
        <f aca="false">IF(D10="","",IFERROR(INDEX(Materiali!$C:$C,MATCH(D10,Materiali!$A:$A,0)),0))</f>
        <v/>
      </c>
      <c r="I10" s="9" t="str">
        <f aca="false">IF(OR(G10="",H10=""),"",IF(F10="Uscita",-1,1)*G10*H10)</f>
        <v/>
      </c>
      <c r="J10" s="13"/>
      <c r="K10" s="13"/>
    </row>
    <row r="11" customFormat="false" ht="15" hidden="false" customHeight="false" outlineLevel="0" collapsed="false">
      <c r="A11" s="12"/>
      <c r="B11" s="13"/>
      <c r="C11" s="13"/>
      <c r="D11" s="13"/>
      <c r="E11" s="7" t="str">
        <f aca="false">IF(D11="","",IFERROR(INDEX(Materiali!$B:$B,MATCH(D11,Materiali!$A:$A,0)),"codice?"))</f>
        <v/>
      </c>
      <c r="F11" s="13"/>
      <c r="G11" s="13"/>
      <c r="H11" s="9" t="str">
        <f aca="false">IF(D11="","",IFERROR(INDEX(Materiali!$C:$C,MATCH(D11,Materiali!$A:$A,0)),0))</f>
        <v/>
      </c>
      <c r="I11" s="9" t="str">
        <f aca="false">IF(OR(G11="",H11=""),"",IF(F11="Uscita",-1,1)*G11*H11)</f>
        <v/>
      </c>
      <c r="J11" s="13"/>
      <c r="K11" s="13"/>
    </row>
    <row r="12" customFormat="false" ht="15" hidden="false" customHeight="false" outlineLevel="0" collapsed="false">
      <c r="A12" s="12"/>
      <c r="B12" s="13"/>
      <c r="C12" s="13"/>
      <c r="D12" s="13"/>
      <c r="E12" s="7" t="str">
        <f aca="false">IF(D12="","",IFERROR(INDEX(Materiali!$B:$B,MATCH(D12,Materiali!$A:$A,0)),"codice?"))</f>
        <v/>
      </c>
      <c r="F12" s="13"/>
      <c r="G12" s="13"/>
      <c r="H12" s="9" t="str">
        <f aca="false">IF(D12="","",IFERROR(INDEX(Materiali!$C:$C,MATCH(D12,Materiali!$A:$A,0)),0))</f>
        <v/>
      </c>
      <c r="I12" s="9" t="str">
        <f aca="false">IF(OR(G12="",H12=""),"",IF(F12="Uscita",-1,1)*G12*H12)</f>
        <v/>
      </c>
      <c r="J12" s="13"/>
      <c r="K12" s="13"/>
    </row>
    <row r="13" customFormat="false" ht="15" hidden="false" customHeight="false" outlineLevel="0" collapsed="false">
      <c r="A13" s="12"/>
      <c r="B13" s="13"/>
      <c r="C13" s="13"/>
      <c r="D13" s="13"/>
      <c r="E13" s="7" t="str">
        <f aca="false">IF(D13="","",IFERROR(INDEX(Materiali!$B:$B,MATCH(D13,Materiali!$A:$A,0)),"codice?"))</f>
        <v/>
      </c>
      <c r="F13" s="13"/>
      <c r="G13" s="13"/>
      <c r="H13" s="9" t="str">
        <f aca="false">IF(D13="","",IFERROR(INDEX(Materiali!$C:$C,MATCH(D13,Materiali!$A:$A,0)),0))</f>
        <v/>
      </c>
      <c r="I13" s="9" t="str">
        <f aca="false">IF(OR(G13="",H13=""),"",IF(F13="Uscita",-1,1)*G13*H13)</f>
        <v/>
      </c>
      <c r="J13" s="13"/>
      <c r="K13" s="13"/>
    </row>
    <row r="14" customFormat="false" ht="15" hidden="false" customHeight="false" outlineLevel="0" collapsed="false">
      <c r="A14" s="12"/>
      <c r="B14" s="13"/>
      <c r="C14" s="13"/>
      <c r="D14" s="13"/>
      <c r="E14" s="7" t="str">
        <f aca="false">IF(D14="","",IFERROR(INDEX(Materiali!$B:$B,MATCH(D14,Materiali!$A:$A,0)),"codice?"))</f>
        <v/>
      </c>
      <c r="F14" s="13"/>
      <c r="G14" s="13"/>
      <c r="H14" s="9" t="str">
        <f aca="false">IF(D14="","",IFERROR(INDEX(Materiali!$C:$C,MATCH(D14,Materiali!$A:$A,0)),0))</f>
        <v/>
      </c>
      <c r="I14" s="9" t="str">
        <f aca="false">IF(OR(G14="",H14=""),"",IF(F14="Uscita",-1,1)*G14*H14)</f>
        <v/>
      </c>
      <c r="J14" s="13"/>
      <c r="K14" s="13"/>
    </row>
    <row r="15" customFormat="false" ht="15" hidden="false" customHeight="false" outlineLevel="0" collapsed="false">
      <c r="A15" s="12"/>
      <c r="B15" s="13"/>
      <c r="C15" s="13"/>
      <c r="D15" s="13"/>
      <c r="E15" s="7" t="str">
        <f aca="false">IF(D15="","",IFERROR(INDEX(Materiali!$B:$B,MATCH(D15,Materiali!$A:$A,0)),"codice?"))</f>
        <v/>
      </c>
      <c r="F15" s="13"/>
      <c r="G15" s="13"/>
      <c r="H15" s="9" t="str">
        <f aca="false">IF(D15="","",IFERROR(INDEX(Materiali!$C:$C,MATCH(D15,Materiali!$A:$A,0)),0))</f>
        <v/>
      </c>
      <c r="I15" s="9" t="str">
        <f aca="false">IF(OR(G15="",H15=""),"",IF(F15="Uscita",-1,1)*G15*H15)</f>
        <v/>
      </c>
      <c r="J15" s="13"/>
      <c r="K15" s="13"/>
    </row>
    <row r="16" customFormat="false" ht="15" hidden="false" customHeight="false" outlineLevel="0" collapsed="false">
      <c r="A16" s="12"/>
      <c r="B16" s="13"/>
      <c r="C16" s="13"/>
      <c r="D16" s="13"/>
      <c r="E16" s="7" t="str">
        <f aca="false">IF(D16="","",IFERROR(INDEX(Materiali!$B:$B,MATCH(D16,Materiali!$A:$A,0)),"codice?"))</f>
        <v/>
      </c>
      <c r="F16" s="13"/>
      <c r="G16" s="13"/>
      <c r="H16" s="9" t="str">
        <f aca="false">IF(D16="","",IFERROR(INDEX(Materiali!$C:$C,MATCH(D16,Materiali!$A:$A,0)),0))</f>
        <v/>
      </c>
      <c r="I16" s="9" t="str">
        <f aca="false">IF(OR(G16="",H16=""),"",IF(F16="Uscita",-1,1)*G16*H16)</f>
        <v/>
      </c>
      <c r="J16" s="13"/>
      <c r="K16" s="13"/>
    </row>
    <row r="17" customFormat="false" ht="15" hidden="false" customHeight="false" outlineLevel="0" collapsed="false">
      <c r="A17" s="12"/>
      <c r="B17" s="13"/>
      <c r="C17" s="13"/>
      <c r="D17" s="13"/>
      <c r="E17" s="7" t="str">
        <f aca="false">IF(D17="","",IFERROR(INDEX(Materiali!$B:$B,MATCH(D17,Materiali!$A:$A,0)),"codice?"))</f>
        <v/>
      </c>
      <c r="F17" s="13"/>
      <c r="G17" s="13"/>
      <c r="H17" s="9" t="str">
        <f aca="false">IF(D17="","",IFERROR(INDEX(Materiali!$C:$C,MATCH(D17,Materiali!$A:$A,0)),0))</f>
        <v/>
      </c>
      <c r="I17" s="9" t="str">
        <f aca="false">IF(OR(G17="",H17=""),"",IF(F17="Uscita",-1,1)*G17*H17)</f>
        <v/>
      </c>
      <c r="J17" s="13"/>
      <c r="K17" s="13"/>
    </row>
    <row r="18" customFormat="false" ht="15" hidden="false" customHeight="false" outlineLevel="0" collapsed="false">
      <c r="A18" s="12"/>
      <c r="B18" s="13"/>
      <c r="C18" s="13"/>
      <c r="D18" s="13"/>
      <c r="E18" s="7" t="str">
        <f aca="false">IF(D18="","",IFERROR(INDEX(Materiali!$B:$B,MATCH(D18,Materiali!$A:$A,0)),"codice?"))</f>
        <v/>
      </c>
      <c r="F18" s="13"/>
      <c r="G18" s="13"/>
      <c r="H18" s="9" t="str">
        <f aca="false">IF(D18="","",IFERROR(INDEX(Materiali!$C:$C,MATCH(D18,Materiali!$A:$A,0)),0))</f>
        <v/>
      </c>
      <c r="I18" s="9" t="str">
        <f aca="false">IF(OR(G18="",H18=""),"",IF(F18="Uscita",-1,1)*G18*H18)</f>
        <v/>
      </c>
      <c r="J18" s="13"/>
      <c r="K18" s="13"/>
    </row>
    <row r="19" customFormat="false" ht="15" hidden="false" customHeight="false" outlineLevel="0" collapsed="false">
      <c r="A19" s="12"/>
      <c r="B19" s="13"/>
      <c r="C19" s="13"/>
      <c r="D19" s="13"/>
      <c r="E19" s="7" t="str">
        <f aca="false">IF(D19="","",IFERROR(INDEX(Materiali!$B:$B,MATCH(D19,Materiali!$A:$A,0)),"codice?"))</f>
        <v/>
      </c>
      <c r="F19" s="13"/>
      <c r="G19" s="13"/>
      <c r="H19" s="9" t="str">
        <f aca="false">IF(D19="","",IFERROR(INDEX(Materiali!$C:$C,MATCH(D19,Materiali!$A:$A,0)),0))</f>
        <v/>
      </c>
      <c r="I19" s="9" t="str">
        <f aca="false">IF(OR(G19="",H19=""),"",IF(F19="Uscita",-1,1)*G19*H19)</f>
        <v/>
      </c>
      <c r="J19" s="13"/>
      <c r="K19" s="13"/>
    </row>
    <row r="20" customFormat="false" ht="15" hidden="false" customHeight="false" outlineLevel="0" collapsed="false">
      <c r="A20" s="12"/>
      <c r="B20" s="13"/>
      <c r="C20" s="13"/>
      <c r="D20" s="13"/>
      <c r="E20" s="7" t="str">
        <f aca="false">IF(D20="","",IFERROR(INDEX(Materiali!$B:$B,MATCH(D20,Materiali!$A:$A,0)),"codice?"))</f>
        <v/>
      </c>
      <c r="F20" s="13"/>
      <c r="G20" s="13"/>
      <c r="H20" s="9" t="str">
        <f aca="false">IF(D20="","",IFERROR(INDEX(Materiali!$C:$C,MATCH(D20,Materiali!$A:$A,0)),0))</f>
        <v/>
      </c>
      <c r="I20" s="9" t="str">
        <f aca="false">IF(OR(G20="",H20=""),"",IF(F20="Uscita",-1,1)*G20*H20)</f>
        <v/>
      </c>
      <c r="J20" s="13"/>
      <c r="K20" s="13"/>
    </row>
    <row r="21" customFormat="false" ht="15" hidden="false" customHeight="false" outlineLevel="0" collapsed="false">
      <c r="A21" s="12"/>
      <c r="B21" s="13"/>
      <c r="C21" s="13"/>
      <c r="D21" s="13"/>
      <c r="E21" s="7" t="str">
        <f aca="false">IF(D21="","",IFERROR(INDEX(Materiali!$B:$B,MATCH(D21,Materiali!$A:$A,0)),"codice?"))</f>
        <v/>
      </c>
      <c r="F21" s="13"/>
      <c r="G21" s="13"/>
      <c r="H21" s="9" t="str">
        <f aca="false">IF(D21="","",IFERROR(INDEX(Materiali!$C:$C,MATCH(D21,Materiali!$A:$A,0)),0))</f>
        <v/>
      </c>
      <c r="I21" s="9" t="str">
        <f aca="false">IF(OR(G21="",H21=""),"",IF(F21="Uscita",-1,1)*G21*H21)</f>
        <v/>
      </c>
      <c r="J21" s="13"/>
      <c r="K21" s="13"/>
    </row>
    <row r="22" customFormat="false" ht="15" hidden="false" customHeight="false" outlineLevel="0" collapsed="false">
      <c r="A22" s="12"/>
      <c r="B22" s="13"/>
      <c r="C22" s="13"/>
      <c r="D22" s="13"/>
      <c r="E22" s="7" t="str">
        <f aca="false">IF(D22="","",IFERROR(INDEX(Materiali!$B:$B,MATCH(D22,Materiali!$A:$A,0)),"codice?"))</f>
        <v/>
      </c>
      <c r="F22" s="13"/>
      <c r="G22" s="13"/>
      <c r="H22" s="9" t="str">
        <f aca="false">IF(D22="","",IFERROR(INDEX(Materiali!$C:$C,MATCH(D22,Materiali!$A:$A,0)),0))</f>
        <v/>
      </c>
      <c r="I22" s="9" t="str">
        <f aca="false">IF(OR(G22="",H22=""),"",IF(F22="Uscita",-1,1)*G22*H22)</f>
        <v/>
      </c>
      <c r="J22" s="13"/>
      <c r="K22" s="13"/>
    </row>
    <row r="23" customFormat="false" ht="15" hidden="false" customHeight="false" outlineLevel="0" collapsed="false">
      <c r="A23" s="12"/>
      <c r="B23" s="13"/>
      <c r="C23" s="13"/>
      <c r="D23" s="13"/>
      <c r="E23" s="7" t="str">
        <f aca="false">IF(D23="","",IFERROR(INDEX(Materiali!$B:$B,MATCH(D23,Materiali!$A:$A,0)),"codice?"))</f>
        <v/>
      </c>
      <c r="F23" s="13"/>
      <c r="G23" s="13"/>
      <c r="H23" s="9" t="str">
        <f aca="false">IF(D23="","",IFERROR(INDEX(Materiali!$C:$C,MATCH(D23,Materiali!$A:$A,0)),0))</f>
        <v/>
      </c>
      <c r="I23" s="9" t="str">
        <f aca="false">IF(OR(G23="",H23=""),"",IF(F23="Uscita",-1,1)*G23*H23)</f>
        <v/>
      </c>
      <c r="J23" s="13"/>
      <c r="K23" s="13"/>
    </row>
    <row r="24" customFormat="false" ht="15" hidden="false" customHeight="false" outlineLevel="0" collapsed="false">
      <c r="A24" s="12"/>
      <c r="B24" s="13"/>
      <c r="C24" s="13"/>
      <c r="D24" s="13"/>
      <c r="E24" s="7" t="str">
        <f aca="false">IF(D24="","",IFERROR(INDEX(Materiali!$B:$B,MATCH(D24,Materiali!$A:$A,0)),"codice?"))</f>
        <v/>
      </c>
      <c r="F24" s="13"/>
      <c r="G24" s="13"/>
      <c r="H24" s="9" t="str">
        <f aca="false">IF(D24="","",IFERROR(INDEX(Materiali!$C:$C,MATCH(D24,Materiali!$A:$A,0)),0))</f>
        <v/>
      </c>
      <c r="I24" s="9" t="str">
        <f aca="false">IF(OR(G24="",H24=""),"",IF(F24="Uscita",-1,1)*G24*H24)</f>
        <v/>
      </c>
      <c r="J24" s="13"/>
      <c r="K24" s="13"/>
    </row>
    <row r="25" customFormat="false" ht="15" hidden="false" customHeight="false" outlineLevel="0" collapsed="false">
      <c r="A25" s="12"/>
      <c r="B25" s="13"/>
      <c r="C25" s="13"/>
      <c r="D25" s="13"/>
      <c r="E25" s="7" t="str">
        <f aca="false">IF(D25="","",IFERROR(INDEX(Materiali!$B:$B,MATCH(D25,Materiali!$A:$A,0)),"codice?"))</f>
        <v/>
      </c>
      <c r="F25" s="13"/>
      <c r="G25" s="13"/>
      <c r="H25" s="9" t="str">
        <f aca="false">IF(D25="","",IFERROR(INDEX(Materiali!$C:$C,MATCH(D25,Materiali!$A:$A,0)),0))</f>
        <v/>
      </c>
      <c r="I25" s="9" t="str">
        <f aca="false">IF(OR(G25="",H25=""),"",IF(F25="Uscita",-1,1)*G25*H25)</f>
        <v/>
      </c>
      <c r="J25" s="13"/>
      <c r="K25" s="13"/>
    </row>
    <row r="26" customFormat="false" ht="15" hidden="false" customHeight="false" outlineLevel="0" collapsed="false">
      <c r="A26" s="12"/>
      <c r="B26" s="13"/>
      <c r="C26" s="13"/>
      <c r="D26" s="13"/>
      <c r="E26" s="7" t="str">
        <f aca="false">IF(D26="","",IFERROR(INDEX(Materiali!$B:$B,MATCH(D26,Materiali!$A:$A,0)),"codice?"))</f>
        <v/>
      </c>
      <c r="F26" s="13"/>
      <c r="G26" s="13"/>
      <c r="H26" s="9" t="str">
        <f aca="false">IF(D26="","",IFERROR(INDEX(Materiali!$C:$C,MATCH(D26,Materiali!$A:$A,0)),0))</f>
        <v/>
      </c>
      <c r="I26" s="9" t="str">
        <f aca="false">IF(OR(G26="",H26=""),"",IF(F26="Uscita",-1,1)*G26*H26)</f>
        <v/>
      </c>
      <c r="J26" s="13"/>
      <c r="K26" s="13"/>
    </row>
    <row r="27" customFormat="false" ht="15" hidden="false" customHeight="false" outlineLevel="0" collapsed="false">
      <c r="A27" s="12"/>
      <c r="B27" s="13"/>
      <c r="C27" s="13"/>
      <c r="D27" s="13"/>
      <c r="E27" s="7" t="str">
        <f aca="false">IF(D27="","",IFERROR(INDEX(Materiali!$B:$B,MATCH(D27,Materiali!$A:$A,0)),"codice?"))</f>
        <v/>
      </c>
      <c r="F27" s="13"/>
      <c r="G27" s="13"/>
      <c r="H27" s="9" t="str">
        <f aca="false">IF(D27="","",IFERROR(INDEX(Materiali!$C:$C,MATCH(D27,Materiali!$A:$A,0)),0))</f>
        <v/>
      </c>
      <c r="I27" s="9" t="str">
        <f aca="false">IF(OR(G27="",H27=""),"",IF(F27="Uscita",-1,1)*G27*H27)</f>
        <v/>
      </c>
      <c r="J27" s="13"/>
      <c r="K27" s="13"/>
    </row>
    <row r="28" customFormat="false" ht="15" hidden="false" customHeight="false" outlineLevel="0" collapsed="false">
      <c r="A28" s="12"/>
      <c r="B28" s="13"/>
      <c r="C28" s="13"/>
      <c r="D28" s="13"/>
      <c r="E28" s="7" t="str">
        <f aca="false">IF(D28="","",IFERROR(INDEX(Materiali!$B:$B,MATCH(D28,Materiali!$A:$A,0)),"codice?"))</f>
        <v/>
      </c>
      <c r="F28" s="13"/>
      <c r="G28" s="13"/>
      <c r="H28" s="9" t="str">
        <f aca="false">IF(D28="","",IFERROR(INDEX(Materiali!$C:$C,MATCH(D28,Materiali!$A:$A,0)),0))</f>
        <v/>
      </c>
      <c r="I28" s="9" t="str">
        <f aca="false">IF(OR(G28="",H28=""),"",IF(F28="Uscita",-1,1)*G28*H28)</f>
        <v/>
      </c>
      <c r="J28" s="13"/>
      <c r="K28" s="13"/>
    </row>
    <row r="29" customFormat="false" ht="15" hidden="false" customHeight="false" outlineLevel="0" collapsed="false">
      <c r="A29" s="12"/>
      <c r="B29" s="13"/>
      <c r="C29" s="13"/>
      <c r="D29" s="13"/>
      <c r="E29" s="7" t="str">
        <f aca="false">IF(D29="","",IFERROR(INDEX(Materiali!$B:$B,MATCH(D29,Materiali!$A:$A,0)),"codice?"))</f>
        <v/>
      </c>
      <c r="F29" s="13"/>
      <c r="G29" s="13"/>
      <c r="H29" s="9" t="str">
        <f aca="false">IF(D29="","",IFERROR(INDEX(Materiali!$C:$C,MATCH(D29,Materiali!$A:$A,0)),0))</f>
        <v/>
      </c>
      <c r="I29" s="9" t="str">
        <f aca="false">IF(OR(G29="",H29=""),"",IF(F29="Uscita",-1,1)*G29*H29)</f>
        <v/>
      </c>
      <c r="J29" s="13"/>
      <c r="K29" s="13"/>
    </row>
    <row r="30" customFormat="false" ht="15" hidden="false" customHeight="false" outlineLevel="0" collapsed="false">
      <c r="A30" s="12"/>
      <c r="B30" s="13"/>
      <c r="C30" s="13"/>
      <c r="D30" s="13"/>
      <c r="E30" s="7" t="str">
        <f aca="false">IF(D30="","",IFERROR(INDEX(Materiali!$B:$B,MATCH(D30,Materiali!$A:$A,0)),"codice?"))</f>
        <v/>
      </c>
      <c r="F30" s="13"/>
      <c r="G30" s="13"/>
      <c r="H30" s="9" t="str">
        <f aca="false">IF(D30="","",IFERROR(INDEX(Materiali!$C:$C,MATCH(D30,Materiali!$A:$A,0)),0))</f>
        <v/>
      </c>
      <c r="I30" s="9" t="str">
        <f aca="false">IF(OR(G30="",H30=""),"",IF(F30="Uscita",-1,1)*G30*H30)</f>
        <v/>
      </c>
      <c r="J30" s="13"/>
      <c r="K30" s="13"/>
    </row>
    <row r="31" customFormat="false" ht="15" hidden="false" customHeight="false" outlineLevel="0" collapsed="false">
      <c r="A31" s="12"/>
      <c r="B31" s="13"/>
      <c r="C31" s="13"/>
      <c r="D31" s="13"/>
      <c r="E31" s="7" t="str">
        <f aca="false">IF(D31="","",IFERROR(INDEX(Materiali!$B:$B,MATCH(D31,Materiali!$A:$A,0)),"codice?"))</f>
        <v/>
      </c>
      <c r="F31" s="13"/>
      <c r="G31" s="13"/>
      <c r="H31" s="9" t="str">
        <f aca="false">IF(D31="","",IFERROR(INDEX(Materiali!$C:$C,MATCH(D31,Materiali!$A:$A,0)),0))</f>
        <v/>
      </c>
      <c r="I31" s="9" t="str">
        <f aca="false">IF(OR(G31="",H31=""),"",IF(F31="Uscita",-1,1)*G31*H31)</f>
        <v/>
      </c>
      <c r="J31" s="13"/>
      <c r="K31" s="13"/>
    </row>
    <row r="32" customFormat="false" ht="15" hidden="false" customHeight="false" outlineLevel="0" collapsed="false">
      <c r="A32" s="12"/>
      <c r="B32" s="13"/>
      <c r="C32" s="13"/>
      <c r="D32" s="13"/>
      <c r="E32" s="7" t="str">
        <f aca="false">IF(D32="","",IFERROR(INDEX(Materiali!$B:$B,MATCH(D32,Materiali!$A:$A,0)),"codice?"))</f>
        <v/>
      </c>
      <c r="F32" s="13"/>
      <c r="G32" s="13"/>
      <c r="H32" s="9" t="str">
        <f aca="false">IF(D32="","",IFERROR(INDEX(Materiali!$C:$C,MATCH(D32,Materiali!$A:$A,0)),0))</f>
        <v/>
      </c>
      <c r="I32" s="9" t="str">
        <f aca="false">IF(OR(G32="",H32=""),"",IF(F32="Uscita",-1,1)*G32*H32)</f>
        <v/>
      </c>
      <c r="J32" s="13"/>
      <c r="K32" s="13"/>
    </row>
    <row r="33" customFormat="false" ht="15" hidden="false" customHeight="false" outlineLevel="0" collapsed="false">
      <c r="A33" s="12"/>
      <c r="B33" s="13"/>
      <c r="C33" s="13"/>
      <c r="D33" s="13"/>
      <c r="E33" s="7" t="str">
        <f aca="false">IF(D33="","",IFERROR(INDEX(Materiali!$B:$B,MATCH(D33,Materiali!$A:$A,0)),"codice?"))</f>
        <v/>
      </c>
      <c r="F33" s="13"/>
      <c r="G33" s="13"/>
      <c r="H33" s="9" t="str">
        <f aca="false">IF(D33="","",IFERROR(INDEX(Materiali!$C:$C,MATCH(D33,Materiali!$A:$A,0)),0))</f>
        <v/>
      </c>
      <c r="I33" s="9" t="str">
        <f aca="false">IF(OR(G33="",H33=""),"",IF(F33="Uscita",-1,1)*G33*H33)</f>
        <v/>
      </c>
      <c r="J33" s="13"/>
      <c r="K33" s="13"/>
    </row>
    <row r="34" customFormat="false" ht="15" hidden="false" customHeight="false" outlineLevel="0" collapsed="false">
      <c r="A34" s="12"/>
      <c r="B34" s="13"/>
      <c r="C34" s="13"/>
      <c r="D34" s="13"/>
      <c r="E34" s="7" t="str">
        <f aca="false">IF(D34="","",IFERROR(INDEX(Materiali!$B:$B,MATCH(D34,Materiali!$A:$A,0)),"codice?"))</f>
        <v/>
      </c>
      <c r="F34" s="13"/>
      <c r="G34" s="13"/>
      <c r="H34" s="9" t="str">
        <f aca="false">IF(D34="","",IFERROR(INDEX(Materiali!$C:$C,MATCH(D34,Materiali!$A:$A,0)),0))</f>
        <v/>
      </c>
      <c r="I34" s="9" t="str">
        <f aca="false">IF(OR(G34="",H34=""),"",IF(F34="Uscita",-1,1)*G34*H34)</f>
        <v/>
      </c>
      <c r="J34" s="13"/>
      <c r="K34" s="13"/>
    </row>
    <row r="35" customFormat="false" ht="15" hidden="false" customHeight="false" outlineLevel="0" collapsed="false">
      <c r="A35" s="12"/>
      <c r="B35" s="13"/>
      <c r="C35" s="13"/>
      <c r="D35" s="13"/>
      <c r="E35" s="7" t="str">
        <f aca="false">IF(D35="","",IFERROR(INDEX(Materiali!$B:$B,MATCH(D35,Materiali!$A:$A,0)),"codice?"))</f>
        <v/>
      </c>
      <c r="F35" s="13"/>
      <c r="G35" s="13"/>
      <c r="H35" s="9" t="str">
        <f aca="false">IF(D35="","",IFERROR(INDEX(Materiali!$C:$C,MATCH(D35,Materiali!$A:$A,0)),0))</f>
        <v/>
      </c>
      <c r="I35" s="9" t="str">
        <f aca="false">IF(OR(G35="",H35=""),"",IF(F35="Uscita",-1,1)*G35*H35)</f>
        <v/>
      </c>
      <c r="J35" s="13"/>
      <c r="K35" s="13"/>
    </row>
    <row r="36" customFormat="false" ht="15" hidden="false" customHeight="false" outlineLevel="0" collapsed="false">
      <c r="A36" s="12"/>
      <c r="B36" s="13"/>
      <c r="C36" s="13"/>
      <c r="D36" s="13"/>
      <c r="E36" s="7" t="str">
        <f aca="false">IF(D36="","",IFERROR(INDEX(Materiali!$B:$B,MATCH(D36,Materiali!$A:$A,0)),"codice?"))</f>
        <v/>
      </c>
      <c r="F36" s="13"/>
      <c r="G36" s="13"/>
      <c r="H36" s="9" t="str">
        <f aca="false">IF(D36="","",IFERROR(INDEX(Materiali!$C:$C,MATCH(D36,Materiali!$A:$A,0)),0))</f>
        <v/>
      </c>
      <c r="I36" s="9" t="str">
        <f aca="false">IF(OR(G36="",H36=""),"",IF(F36="Uscita",-1,1)*G36*H36)</f>
        <v/>
      </c>
      <c r="J36" s="13"/>
      <c r="K36" s="13"/>
    </row>
    <row r="37" customFormat="false" ht="15" hidden="false" customHeight="false" outlineLevel="0" collapsed="false">
      <c r="A37" s="12"/>
      <c r="B37" s="13"/>
      <c r="C37" s="13"/>
      <c r="D37" s="13"/>
      <c r="E37" s="7" t="str">
        <f aca="false">IF(D37="","",IFERROR(INDEX(Materiali!$B:$B,MATCH(D37,Materiali!$A:$A,0)),"codice?"))</f>
        <v/>
      </c>
      <c r="F37" s="13"/>
      <c r="G37" s="13"/>
      <c r="H37" s="9" t="str">
        <f aca="false">IF(D37="","",IFERROR(INDEX(Materiali!$C:$C,MATCH(D37,Materiali!$A:$A,0)),0))</f>
        <v/>
      </c>
      <c r="I37" s="9" t="str">
        <f aca="false">IF(OR(G37="",H37=""),"",IF(F37="Uscita",-1,1)*G37*H37)</f>
        <v/>
      </c>
      <c r="J37" s="13"/>
      <c r="K37" s="13"/>
    </row>
    <row r="38" customFormat="false" ht="15" hidden="false" customHeight="false" outlineLevel="0" collapsed="false">
      <c r="A38" s="12"/>
      <c r="B38" s="13"/>
      <c r="C38" s="13"/>
      <c r="D38" s="13"/>
      <c r="E38" s="7" t="str">
        <f aca="false">IF(D38="","",IFERROR(INDEX(Materiali!$B:$B,MATCH(D38,Materiali!$A:$A,0)),"codice?"))</f>
        <v/>
      </c>
      <c r="F38" s="13"/>
      <c r="G38" s="13"/>
      <c r="H38" s="9" t="str">
        <f aca="false">IF(D38="","",IFERROR(INDEX(Materiali!$C:$C,MATCH(D38,Materiali!$A:$A,0)),0))</f>
        <v/>
      </c>
      <c r="I38" s="9" t="str">
        <f aca="false">IF(OR(G38="",H38=""),"",IF(F38="Uscita",-1,1)*G38*H38)</f>
        <v/>
      </c>
      <c r="J38" s="13"/>
      <c r="K38" s="13"/>
    </row>
    <row r="39" customFormat="false" ht="15" hidden="false" customHeight="false" outlineLevel="0" collapsed="false">
      <c r="A39" s="12"/>
      <c r="B39" s="13"/>
      <c r="C39" s="13"/>
      <c r="D39" s="13"/>
      <c r="E39" s="7" t="str">
        <f aca="false">IF(D39="","",IFERROR(INDEX(Materiali!$B:$B,MATCH(D39,Materiali!$A:$A,0)),"codice?"))</f>
        <v/>
      </c>
      <c r="F39" s="13"/>
      <c r="G39" s="13"/>
      <c r="H39" s="9" t="str">
        <f aca="false">IF(D39="","",IFERROR(INDEX(Materiali!$C:$C,MATCH(D39,Materiali!$A:$A,0)),0))</f>
        <v/>
      </c>
      <c r="I39" s="9" t="str">
        <f aca="false">IF(OR(G39="",H39=""),"",IF(F39="Uscita",-1,1)*G39*H39)</f>
        <v/>
      </c>
      <c r="J39" s="13"/>
      <c r="K39" s="13"/>
    </row>
    <row r="40" customFormat="false" ht="15" hidden="false" customHeight="false" outlineLevel="0" collapsed="false">
      <c r="A40" s="12"/>
      <c r="B40" s="13"/>
      <c r="C40" s="13"/>
      <c r="D40" s="13"/>
      <c r="E40" s="7" t="str">
        <f aca="false">IF(D40="","",IFERROR(INDEX(Materiali!$B:$B,MATCH(D40,Materiali!$A:$A,0)),"codice?"))</f>
        <v/>
      </c>
      <c r="F40" s="13"/>
      <c r="G40" s="13"/>
      <c r="H40" s="9" t="str">
        <f aca="false">IF(D40="","",IFERROR(INDEX(Materiali!$C:$C,MATCH(D40,Materiali!$A:$A,0)),0))</f>
        <v/>
      </c>
      <c r="I40" s="9" t="str">
        <f aca="false">IF(OR(G40="",H40=""),"",IF(F40="Uscita",-1,1)*G40*H40)</f>
        <v/>
      </c>
      <c r="J40" s="13"/>
      <c r="K40" s="13"/>
    </row>
    <row r="41" customFormat="false" ht="15" hidden="false" customHeight="false" outlineLevel="0" collapsed="false">
      <c r="A41" s="12"/>
      <c r="B41" s="13"/>
      <c r="C41" s="13"/>
      <c r="D41" s="13"/>
      <c r="E41" s="7" t="str">
        <f aca="false">IF(D41="","",IFERROR(INDEX(Materiali!$B:$B,MATCH(D41,Materiali!$A:$A,0)),"codice?"))</f>
        <v/>
      </c>
      <c r="F41" s="13"/>
      <c r="G41" s="13"/>
      <c r="H41" s="9" t="str">
        <f aca="false">IF(D41="","",IFERROR(INDEX(Materiali!$C:$C,MATCH(D41,Materiali!$A:$A,0)),0))</f>
        <v/>
      </c>
      <c r="I41" s="9" t="str">
        <f aca="false">IF(OR(G41="",H41=""),"",IF(F41="Uscita",-1,1)*G41*H41)</f>
        <v/>
      </c>
      <c r="J41" s="13"/>
      <c r="K41" s="13"/>
    </row>
    <row r="42" customFormat="false" ht="15" hidden="false" customHeight="false" outlineLevel="0" collapsed="false">
      <c r="A42" s="12"/>
      <c r="B42" s="13"/>
      <c r="C42" s="13"/>
      <c r="D42" s="13"/>
      <c r="E42" s="7" t="str">
        <f aca="false">IF(D42="","",IFERROR(INDEX(Materiali!$B:$B,MATCH(D42,Materiali!$A:$A,0)),"codice?"))</f>
        <v/>
      </c>
      <c r="F42" s="13"/>
      <c r="G42" s="13"/>
      <c r="H42" s="9" t="str">
        <f aca="false">IF(D42="","",IFERROR(INDEX(Materiali!$C:$C,MATCH(D42,Materiali!$A:$A,0)),0))</f>
        <v/>
      </c>
      <c r="I42" s="9" t="str">
        <f aca="false">IF(OR(G42="",H42=""),"",IF(F42="Uscita",-1,1)*G42*H42)</f>
        <v/>
      </c>
      <c r="J42" s="13"/>
      <c r="K42" s="13"/>
    </row>
    <row r="43" customFormat="false" ht="15" hidden="false" customHeight="false" outlineLevel="0" collapsed="false">
      <c r="A43" s="12"/>
      <c r="B43" s="13"/>
      <c r="C43" s="13"/>
      <c r="D43" s="13"/>
      <c r="E43" s="7" t="str">
        <f aca="false">IF(D43="","",IFERROR(INDEX(Materiali!$B:$B,MATCH(D43,Materiali!$A:$A,0)),"codice?"))</f>
        <v/>
      </c>
      <c r="F43" s="13"/>
      <c r="G43" s="13"/>
      <c r="H43" s="9" t="str">
        <f aca="false">IF(D43="","",IFERROR(INDEX(Materiali!$C:$C,MATCH(D43,Materiali!$A:$A,0)),0))</f>
        <v/>
      </c>
      <c r="I43" s="9" t="str">
        <f aca="false">IF(OR(G43="",H43=""),"",IF(F43="Uscita",-1,1)*G43*H43)</f>
        <v/>
      </c>
      <c r="J43" s="13"/>
      <c r="K43" s="13"/>
    </row>
    <row r="44" customFormat="false" ht="15" hidden="false" customHeight="false" outlineLevel="0" collapsed="false">
      <c r="A44" s="12"/>
      <c r="B44" s="13"/>
      <c r="C44" s="13"/>
      <c r="D44" s="13"/>
      <c r="E44" s="7" t="str">
        <f aca="false">IF(D44="","",IFERROR(INDEX(Materiali!$B:$B,MATCH(D44,Materiali!$A:$A,0)),"codice?"))</f>
        <v/>
      </c>
      <c r="F44" s="13"/>
      <c r="G44" s="13"/>
      <c r="H44" s="9" t="str">
        <f aca="false">IF(D44="","",IFERROR(INDEX(Materiali!$C:$C,MATCH(D44,Materiali!$A:$A,0)),0))</f>
        <v/>
      </c>
      <c r="I44" s="9" t="str">
        <f aca="false">IF(OR(G44="",H44=""),"",IF(F44="Uscita",-1,1)*G44*H44)</f>
        <v/>
      </c>
      <c r="J44" s="13"/>
      <c r="K44" s="13"/>
    </row>
    <row r="45" customFormat="false" ht="15" hidden="false" customHeight="false" outlineLevel="0" collapsed="false">
      <c r="A45" s="12"/>
      <c r="B45" s="13"/>
      <c r="C45" s="13"/>
      <c r="D45" s="13"/>
      <c r="E45" s="7" t="str">
        <f aca="false">IF(D45="","",IFERROR(INDEX(Materiali!$B:$B,MATCH(D45,Materiali!$A:$A,0)),"codice?"))</f>
        <v/>
      </c>
      <c r="F45" s="13"/>
      <c r="G45" s="13"/>
      <c r="H45" s="9" t="str">
        <f aca="false">IF(D45="","",IFERROR(INDEX(Materiali!$C:$C,MATCH(D45,Materiali!$A:$A,0)),0))</f>
        <v/>
      </c>
      <c r="I45" s="9" t="str">
        <f aca="false">IF(OR(G45="",H45=""),"",IF(F45="Uscita",-1,1)*G45*H45)</f>
        <v/>
      </c>
      <c r="J45" s="13"/>
      <c r="K45" s="13"/>
    </row>
    <row r="46" customFormat="false" ht="15" hidden="false" customHeight="false" outlineLevel="0" collapsed="false">
      <c r="A46" s="12"/>
      <c r="B46" s="13"/>
      <c r="C46" s="13"/>
      <c r="D46" s="13"/>
      <c r="E46" s="7" t="str">
        <f aca="false">IF(D46="","",IFERROR(INDEX(Materiali!$B:$B,MATCH(D46,Materiali!$A:$A,0)),"codice?"))</f>
        <v/>
      </c>
      <c r="F46" s="13"/>
      <c r="G46" s="13"/>
      <c r="H46" s="9" t="str">
        <f aca="false">IF(D46="","",IFERROR(INDEX(Materiali!$C:$C,MATCH(D46,Materiali!$A:$A,0)),0))</f>
        <v/>
      </c>
      <c r="I46" s="9" t="str">
        <f aca="false">IF(OR(G46="",H46=""),"",IF(F46="Uscita",-1,1)*G46*H46)</f>
        <v/>
      </c>
      <c r="J46" s="13"/>
      <c r="K46" s="13"/>
    </row>
    <row r="47" customFormat="false" ht="15" hidden="false" customHeight="false" outlineLevel="0" collapsed="false">
      <c r="A47" s="12"/>
      <c r="B47" s="13"/>
      <c r="C47" s="13"/>
      <c r="D47" s="13"/>
      <c r="E47" s="7" t="str">
        <f aca="false">IF(D47="","",IFERROR(INDEX(Materiali!$B:$B,MATCH(D47,Materiali!$A:$A,0)),"codice?"))</f>
        <v/>
      </c>
      <c r="F47" s="13"/>
      <c r="G47" s="13"/>
      <c r="H47" s="9" t="str">
        <f aca="false">IF(D47="","",IFERROR(INDEX(Materiali!$C:$C,MATCH(D47,Materiali!$A:$A,0)),0))</f>
        <v/>
      </c>
      <c r="I47" s="9" t="str">
        <f aca="false">IF(OR(G47="",H47=""),"",IF(F47="Uscita",-1,1)*G47*H47)</f>
        <v/>
      </c>
      <c r="J47" s="13"/>
      <c r="K47" s="13"/>
    </row>
    <row r="48" customFormat="false" ht="15" hidden="false" customHeight="false" outlineLevel="0" collapsed="false">
      <c r="A48" s="12"/>
      <c r="B48" s="13"/>
      <c r="C48" s="13"/>
      <c r="D48" s="13"/>
      <c r="E48" s="7" t="str">
        <f aca="false">IF(D48="","",IFERROR(INDEX(Materiali!$B:$B,MATCH(D48,Materiali!$A:$A,0)),"codice?"))</f>
        <v/>
      </c>
      <c r="F48" s="13"/>
      <c r="G48" s="13"/>
      <c r="H48" s="9" t="str">
        <f aca="false">IF(D48="","",IFERROR(INDEX(Materiali!$C:$C,MATCH(D48,Materiali!$A:$A,0)),0))</f>
        <v/>
      </c>
      <c r="I48" s="9" t="str">
        <f aca="false">IF(OR(G48="",H48=""),"",IF(F48="Uscita",-1,1)*G48*H48)</f>
        <v/>
      </c>
      <c r="J48" s="13"/>
      <c r="K48" s="13"/>
    </row>
    <row r="49" customFormat="false" ht="15" hidden="false" customHeight="false" outlineLevel="0" collapsed="false">
      <c r="A49" s="12"/>
      <c r="B49" s="13"/>
      <c r="C49" s="13"/>
      <c r="D49" s="13"/>
      <c r="E49" s="7" t="str">
        <f aca="false">IF(D49="","",IFERROR(INDEX(Materiali!$B:$B,MATCH(D49,Materiali!$A:$A,0)),"codice?"))</f>
        <v/>
      </c>
      <c r="F49" s="13"/>
      <c r="G49" s="13"/>
      <c r="H49" s="9" t="str">
        <f aca="false">IF(D49="","",IFERROR(INDEX(Materiali!$C:$C,MATCH(D49,Materiali!$A:$A,0)),0))</f>
        <v/>
      </c>
      <c r="I49" s="9" t="str">
        <f aca="false">IF(OR(G49="",H49=""),"",IF(F49="Uscita",-1,1)*G49*H49)</f>
        <v/>
      </c>
      <c r="J49" s="13"/>
      <c r="K49" s="13"/>
    </row>
    <row r="50" customFormat="false" ht="15" hidden="false" customHeight="false" outlineLevel="0" collapsed="false">
      <c r="A50" s="12"/>
      <c r="B50" s="13"/>
      <c r="C50" s="13"/>
      <c r="D50" s="13"/>
      <c r="E50" s="7" t="str">
        <f aca="false">IF(D50="","",IFERROR(INDEX(Materiali!$B:$B,MATCH(D50,Materiali!$A:$A,0)),"codice?"))</f>
        <v/>
      </c>
      <c r="F50" s="13"/>
      <c r="G50" s="13"/>
      <c r="H50" s="9" t="str">
        <f aca="false">IF(D50="","",IFERROR(INDEX(Materiali!$C:$C,MATCH(D50,Materiali!$A:$A,0)),0))</f>
        <v/>
      </c>
      <c r="I50" s="9" t="str">
        <f aca="false">IF(OR(G50="",H50=""),"",IF(F50="Uscita",-1,1)*G50*H50)</f>
        <v/>
      </c>
      <c r="J50" s="13"/>
      <c r="K50" s="13"/>
    </row>
    <row r="51" customFormat="false" ht="15" hidden="false" customHeight="false" outlineLevel="0" collapsed="false">
      <c r="A51" s="12"/>
      <c r="B51" s="13"/>
      <c r="C51" s="13"/>
      <c r="D51" s="13"/>
      <c r="E51" s="7" t="str">
        <f aca="false">IF(D51="","",IFERROR(INDEX(Materiali!$B:$B,MATCH(D51,Materiali!$A:$A,0)),"codice?"))</f>
        <v/>
      </c>
      <c r="F51" s="13"/>
      <c r="G51" s="13"/>
      <c r="H51" s="9" t="str">
        <f aca="false">IF(D51="","",IFERROR(INDEX(Materiali!$C:$C,MATCH(D51,Materiali!$A:$A,0)),0))</f>
        <v/>
      </c>
      <c r="I51" s="9" t="str">
        <f aca="false">IF(OR(G51="",H51=""),"",IF(F51="Uscita",-1,1)*G51*H51)</f>
        <v/>
      </c>
      <c r="J51" s="13"/>
      <c r="K51" s="13"/>
    </row>
    <row r="52" customFormat="false" ht="15" hidden="false" customHeight="false" outlineLevel="0" collapsed="false">
      <c r="A52" s="12"/>
      <c r="B52" s="13"/>
      <c r="C52" s="13"/>
      <c r="D52" s="13"/>
      <c r="E52" s="7" t="str">
        <f aca="false">IF(D52="","",IFERROR(INDEX(Materiali!$B:$B,MATCH(D52,Materiali!$A:$A,0)),"codice?"))</f>
        <v/>
      </c>
      <c r="F52" s="13"/>
      <c r="G52" s="13"/>
      <c r="H52" s="9" t="str">
        <f aca="false">IF(D52="","",IFERROR(INDEX(Materiali!$C:$C,MATCH(D52,Materiali!$A:$A,0)),0))</f>
        <v/>
      </c>
      <c r="I52" s="9" t="str">
        <f aca="false">IF(OR(G52="",H52=""),"",IF(F52="Uscita",-1,1)*G52*H52)</f>
        <v/>
      </c>
      <c r="J52" s="13"/>
      <c r="K52" s="13"/>
    </row>
    <row r="53" customFormat="false" ht="15" hidden="false" customHeight="false" outlineLevel="0" collapsed="false">
      <c r="A53" s="12"/>
      <c r="B53" s="13"/>
      <c r="C53" s="13"/>
      <c r="D53" s="13"/>
      <c r="E53" s="7" t="str">
        <f aca="false">IF(D53="","",IFERROR(INDEX(Materiali!$B:$B,MATCH(D53,Materiali!$A:$A,0)),"codice?"))</f>
        <v/>
      </c>
      <c r="F53" s="13"/>
      <c r="G53" s="13"/>
      <c r="H53" s="9" t="str">
        <f aca="false">IF(D53="","",IFERROR(INDEX(Materiali!$C:$C,MATCH(D53,Materiali!$A:$A,0)),0))</f>
        <v/>
      </c>
      <c r="I53" s="9" t="str">
        <f aca="false">IF(OR(G53="",H53=""),"",IF(F53="Uscita",-1,1)*G53*H53)</f>
        <v/>
      </c>
      <c r="J53" s="13"/>
      <c r="K53" s="13"/>
    </row>
    <row r="54" customFormat="false" ht="15" hidden="false" customHeight="false" outlineLevel="0" collapsed="false">
      <c r="A54" s="12"/>
      <c r="B54" s="13"/>
      <c r="C54" s="13"/>
      <c r="D54" s="13"/>
      <c r="E54" s="7" t="str">
        <f aca="false">IF(D54="","",IFERROR(INDEX(Materiali!$B:$B,MATCH(D54,Materiali!$A:$A,0)),"codice?"))</f>
        <v/>
      </c>
      <c r="F54" s="13"/>
      <c r="G54" s="13"/>
      <c r="H54" s="9" t="str">
        <f aca="false">IF(D54="","",IFERROR(INDEX(Materiali!$C:$C,MATCH(D54,Materiali!$A:$A,0)),0))</f>
        <v/>
      </c>
      <c r="I54" s="9" t="str">
        <f aca="false">IF(OR(G54="",H54=""),"",IF(F54="Uscita",-1,1)*G54*H54)</f>
        <v/>
      </c>
      <c r="J54" s="13"/>
      <c r="K54" s="13"/>
    </row>
    <row r="55" customFormat="false" ht="15" hidden="false" customHeight="false" outlineLevel="0" collapsed="false">
      <c r="A55" s="12"/>
      <c r="B55" s="13"/>
      <c r="C55" s="13"/>
      <c r="D55" s="13"/>
      <c r="E55" s="7" t="str">
        <f aca="false">IF(D55="","",IFERROR(INDEX(Materiali!$B:$B,MATCH(D55,Materiali!$A:$A,0)),"codice?"))</f>
        <v/>
      </c>
      <c r="F55" s="13"/>
      <c r="G55" s="13"/>
      <c r="H55" s="9" t="str">
        <f aca="false">IF(D55="","",IFERROR(INDEX(Materiali!$C:$C,MATCH(D55,Materiali!$A:$A,0)),0))</f>
        <v/>
      </c>
      <c r="I55" s="9" t="str">
        <f aca="false">IF(OR(G55="",H55=""),"",IF(F55="Uscita",-1,1)*G55*H55)</f>
        <v/>
      </c>
      <c r="J55" s="13"/>
      <c r="K55" s="13"/>
    </row>
    <row r="56" customFormat="false" ht="15" hidden="false" customHeight="false" outlineLevel="0" collapsed="false">
      <c r="A56" s="12"/>
      <c r="B56" s="13"/>
      <c r="C56" s="13"/>
      <c r="D56" s="13"/>
      <c r="E56" s="7" t="str">
        <f aca="false">IF(D56="","",IFERROR(INDEX(Materiali!$B:$B,MATCH(D56,Materiali!$A:$A,0)),"codice?"))</f>
        <v/>
      </c>
      <c r="F56" s="13"/>
      <c r="G56" s="13"/>
      <c r="H56" s="9" t="str">
        <f aca="false">IF(D56="","",IFERROR(INDEX(Materiali!$C:$C,MATCH(D56,Materiali!$A:$A,0)),0))</f>
        <v/>
      </c>
      <c r="I56" s="9" t="str">
        <f aca="false">IF(OR(G56="",H56=""),"",IF(F56="Uscita",-1,1)*G56*H56)</f>
        <v/>
      </c>
      <c r="J56" s="13"/>
      <c r="K56" s="13"/>
    </row>
    <row r="57" customFormat="false" ht="15" hidden="false" customHeight="false" outlineLevel="0" collapsed="false">
      <c r="A57" s="12"/>
      <c r="B57" s="13"/>
      <c r="C57" s="13"/>
      <c r="D57" s="13"/>
      <c r="E57" s="7" t="str">
        <f aca="false">IF(D57="","",IFERROR(INDEX(Materiali!$B:$B,MATCH(D57,Materiali!$A:$A,0)),"codice?"))</f>
        <v/>
      </c>
      <c r="F57" s="13"/>
      <c r="G57" s="13"/>
      <c r="H57" s="9" t="str">
        <f aca="false">IF(D57="","",IFERROR(INDEX(Materiali!$C:$C,MATCH(D57,Materiali!$A:$A,0)),0))</f>
        <v/>
      </c>
      <c r="I57" s="9" t="str">
        <f aca="false">IF(OR(G57="",H57=""),"",IF(F57="Uscita",-1,1)*G57*H57)</f>
        <v/>
      </c>
      <c r="J57" s="13"/>
      <c r="K57" s="13"/>
    </row>
    <row r="58" customFormat="false" ht="15" hidden="false" customHeight="false" outlineLevel="0" collapsed="false">
      <c r="A58" s="12"/>
      <c r="B58" s="13"/>
      <c r="C58" s="13"/>
      <c r="D58" s="13"/>
      <c r="E58" s="7" t="str">
        <f aca="false">IF(D58="","",IFERROR(INDEX(Materiali!$B:$B,MATCH(D58,Materiali!$A:$A,0)),"codice?"))</f>
        <v/>
      </c>
      <c r="F58" s="13"/>
      <c r="G58" s="13"/>
      <c r="H58" s="9" t="str">
        <f aca="false">IF(D58="","",IFERROR(INDEX(Materiali!$C:$C,MATCH(D58,Materiali!$A:$A,0)),0))</f>
        <v/>
      </c>
      <c r="I58" s="9" t="str">
        <f aca="false">IF(OR(G58="",H58=""),"",IF(F58="Uscita",-1,1)*G58*H58)</f>
        <v/>
      </c>
      <c r="J58" s="13"/>
      <c r="K58" s="13"/>
    </row>
    <row r="59" customFormat="false" ht="15" hidden="false" customHeight="false" outlineLevel="0" collapsed="false">
      <c r="A59" s="12"/>
      <c r="B59" s="13"/>
      <c r="C59" s="13"/>
      <c r="D59" s="13"/>
      <c r="E59" s="7" t="str">
        <f aca="false">IF(D59="","",IFERROR(INDEX(Materiali!$B:$B,MATCH(D59,Materiali!$A:$A,0)),"codice?"))</f>
        <v/>
      </c>
      <c r="F59" s="13"/>
      <c r="G59" s="13"/>
      <c r="H59" s="9" t="str">
        <f aca="false">IF(D59="","",IFERROR(INDEX(Materiali!$C:$C,MATCH(D59,Materiali!$A:$A,0)),0))</f>
        <v/>
      </c>
      <c r="I59" s="9" t="str">
        <f aca="false">IF(OR(G59="",H59=""),"",IF(F59="Uscita",-1,1)*G59*H59)</f>
        <v/>
      </c>
      <c r="J59" s="13"/>
      <c r="K59" s="13"/>
    </row>
    <row r="60" customFormat="false" ht="15" hidden="false" customHeight="false" outlineLevel="0" collapsed="false">
      <c r="A60" s="12"/>
      <c r="B60" s="13"/>
      <c r="C60" s="13"/>
      <c r="D60" s="13"/>
      <c r="E60" s="7" t="str">
        <f aca="false">IF(D60="","",IFERROR(INDEX(Materiali!$B:$B,MATCH(D60,Materiali!$A:$A,0)),"codice?"))</f>
        <v/>
      </c>
      <c r="F60" s="13"/>
      <c r="G60" s="13"/>
      <c r="H60" s="9" t="str">
        <f aca="false">IF(D60="","",IFERROR(INDEX(Materiali!$C:$C,MATCH(D60,Materiali!$A:$A,0)),0))</f>
        <v/>
      </c>
      <c r="I60" s="9" t="str">
        <f aca="false">IF(OR(G60="",H60=""),"",IF(F60="Uscita",-1,1)*G60*H60)</f>
        <v/>
      </c>
      <c r="J60" s="13"/>
      <c r="K60" s="13"/>
    </row>
    <row r="61" customFormat="false" ht="15" hidden="false" customHeight="false" outlineLevel="0" collapsed="false">
      <c r="A61" s="12"/>
      <c r="B61" s="13"/>
      <c r="C61" s="13"/>
      <c r="D61" s="13"/>
      <c r="E61" s="7" t="str">
        <f aca="false">IF(D61="","",IFERROR(INDEX(Materiali!$B:$B,MATCH(D61,Materiali!$A:$A,0)),"codice?"))</f>
        <v/>
      </c>
      <c r="F61" s="13"/>
      <c r="G61" s="13"/>
      <c r="H61" s="9" t="str">
        <f aca="false">IF(D61="","",IFERROR(INDEX(Materiali!$C:$C,MATCH(D61,Materiali!$A:$A,0)),0))</f>
        <v/>
      </c>
      <c r="I61" s="9" t="str">
        <f aca="false">IF(OR(G61="",H61=""),"",IF(F61="Uscita",-1,1)*G61*H61)</f>
        <v/>
      </c>
      <c r="J61" s="13"/>
      <c r="K61" s="13"/>
    </row>
    <row r="62" customFormat="false" ht="15" hidden="false" customHeight="false" outlineLevel="0" collapsed="false">
      <c r="A62" s="12"/>
      <c r="B62" s="13"/>
      <c r="C62" s="13"/>
      <c r="D62" s="13"/>
      <c r="E62" s="7" t="str">
        <f aca="false">IF(D62="","",IFERROR(INDEX(Materiali!$B:$B,MATCH(D62,Materiali!$A:$A,0)),"codice?"))</f>
        <v/>
      </c>
      <c r="F62" s="13"/>
      <c r="G62" s="13"/>
      <c r="H62" s="9" t="str">
        <f aca="false">IF(D62="","",IFERROR(INDEX(Materiali!$C:$C,MATCH(D62,Materiali!$A:$A,0)),0))</f>
        <v/>
      </c>
      <c r="I62" s="9" t="str">
        <f aca="false">IF(OR(G62="",H62=""),"",IF(F62="Uscita",-1,1)*G62*H62)</f>
        <v/>
      </c>
      <c r="J62" s="13"/>
      <c r="K62" s="13"/>
    </row>
    <row r="63" customFormat="false" ht="15" hidden="false" customHeight="false" outlineLevel="0" collapsed="false">
      <c r="A63" s="12"/>
      <c r="B63" s="13"/>
      <c r="C63" s="13"/>
      <c r="D63" s="13"/>
      <c r="E63" s="7" t="str">
        <f aca="false">IF(D63="","",IFERROR(INDEX(Materiali!$B:$B,MATCH(D63,Materiali!$A:$A,0)),"codice?"))</f>
        <v/>
      </c>
      <c r="F63" s="13"/>
      <c r="G63" s="13"/>
      <c r="H63" s="9" t="str">
        <f aca="false">IF(D63="","",IFERROR(INDEX(Materiali!$C:$C,MATCH(D63,Materiali!$A:$A,0)),0))</f>
        <v/>
      </c>
      <c r="I63" s="9" t="str">
        <f aca="false">IF(OR(G63="",H63=""),"",IF(F63="Uscita",-1,1)*G63*H63)</f>
        <v/>
      </c>
      <c r="J63" s="13"/>
      <c r="K63" s="13"/>
    </row>
    <row r="64" customFormat="false" ht="15" hidden="false" customHeight="false" outlineLevel="0" collapsed="false">
      <c r="A64" s="12"/>
      <c r="B64" s="13"/>
      <c r="C64" s="13"/>
      <c r="D64" s="13"/>
      <c r="E64" s="7" t="str">
        <f aca="false">IF(D64="","",IFERROR(INDEX(Materiali!$B:$B,MATCH(D64,Materiali!$A:$A,0)),"codice?"))</f>
        <v/>
      </c>
      <c r="F64" s="13"/>
      <c r="G64" s="13"/>
      <c r="H64" s="9" t="str">
        <f aca="false">IF(D64="","",IFERROR(INDEX(Materiali!$C:$C,MATCH(D64,Materiali!$A:$A,0)),0))</f>
        <v/>
      </c>
      <c r="I64" s="9" t="str">
        <f aca="false">IF(OR(G64="",H64=""),"",IF(F64="Uscita",-1,1)*G64*H64)</f>
        <v/>
      </c>
      <c r="J64" s="13"/>
      <c r="K64" s="13"/>
    </row>
    <row r="65" customFormat="false" ht="15" hidden="false" customHeight="false" outlineLevel="0" collapsed="false">
      <c r="A65" s="12"/>
      <c r="B65" s="13"/>
      <c r="C65" s="13"/>
      <c r="D65" s="13"/>
      <c r="E65" s="7" t="str">
        <f aca="false">IF(D65="","",IFERROR(INDEX(Materiali!$B:$B,MATCH(D65,Materiali!$A:$A,0)),"codice?"))</f>
        <v/>
      </c>
      <c r="F65" s="13"/>
      <c r="G65" s="13"/>
      <c r="H65" s="9" t="str">
        <f aca="false">IF(D65="","",IFERROR(INDEX(Materiali!$C:$C,MATCH(D65,Materiali!$A:$A,0)),0))</f>
        <v/>
      </c>
      <c r="I65" s="9" t="str">
        <f aca="false">IF(OR(G65="",H65=""),"",IF(F65="Uscita",-1,1)*G65*H65)</f>
        <v/>
      </c>
      <c r="J65" s="13"/>
      <c r="K65" s="13"/>
    </row>
    <row r="66" customFormat="false" ht="15" hidden="false" customHeight="false" outlineLevel="0" collapsed="false">
      <c r="A66" s="12"/>
      <c r="B66" s="13"/>
      <c r="C66" s="13"/>
      <c r="D66" s="13"/>
      <c r="E66" s="7" t="str">
        <f aca="false">IF(D66="","",IFERROR(INDEX(Materiali!$B:$B,MATCH(D66,Materiali!$A:$A,0)),"codice?"))</f>
        <v/>
      </c>
      <c r="F66" s="13"/>
      <c r="G66" s="13"/>
      <c r="H66" s="9" t="str">
        <f aca="false">IF(D66="","",IFERROR(INDEX(Materiali!$C:$C,MATCH(D66,Materiali!$A:$A,0)),0))</f>
        <v/>
      </c>
      <c r="I66" s="9" t="str">
        <f aca="false">IF(OR(G66="",H66=""),"",IF(F66="Uscita",-1,1)*G66*H66)</f>
        <v/>
      </c>
      <c r="J66" s="13"/>
      <c r="K66" s="13"/>
    </row>
    <row r="67" customFormat="false" ht="15" hidden="false" customHeight="false" outlineLevel="0" collapsed="false">
      <c r="A67" s="12"/>
      <c r="B67" s="13"/>
      <c r="C67" s="13"/>
      <c r="D67" s="13"/>
      <c r="E67" s="7" t="str">
        <f aca="false">IF(D67="","",IFERROR(INDEX(Materiali!$B:$B,MATCH(D67,Materiali!$A:$A,0)),"codice?"))</f>
        <v/>
      </c>
      <c r="F67" s="13"/>
      <c r="G67" s="13"/>
      <c r="H67" s="9" t="str">
        <f aca="false">IF(D67="","",IFERROR(INDEX(Materiali!$C:$C,MATCH(D67,Materiali!$A:$A,0)),0))</f>
        <v/>
      </c>
      <c r="I67" s="9" t="str">
        <f aca="false">IF(OR(G67="",H67=""),"",IF(F67="Uscita",-1,1)*G67*H67)</f>
        <v/>
      </c>
      <c r="J67" s="13"/>
      <c r="K67" s="13"/>
    </row>
    <row r="68" customFormat="false" ht="15" hidden="false" customHeight="false" outlineLevel="0" collapsed="false">
      <c r="A68" s="12"/>
      <c r="B68" s="13"/>
      <c r="C68" s="13"/>
      <c r="D68" s="13"/>
      <c r="E68" s="7" t="str">
        <f aca="false">IF(D68="","",IFERROR(INDEX(Materiali!$B:$B,MATCH(D68,Materiali!$A:$A,0)),"codice?"))</f>
        <v/>
      </c>
      <c r="F68" s="13"/>
      <c r="G68" s="13"/>
      <c r="H68" s="9" t="str">
        <f aca="false">IF(D68="","",IFERROR(INDEX(Materiali!$C:$C,MATCH(D68,Materiali!$A:$A,0)),0))</f>
        <v/>
      </c>
      <c r="I68" s="9" t="str">
        <f aca="false">IF(OR(G68="",H68=""),"",IF(F68="Uscita",-1,1)*G68*H68)</f>
        <v/>
      </c>
      <c r="J68" s="13"/>
      <c r="K68" s="13"/>
    </row>
    <row r="69" customFormat="false" ht="15" hidden="false" customHeight="false" outlineLevel="0" collapsed="false">
      <c r="A69" s="12"/>
      <c r="B69" s="13"/>
      <c r="C69" s="13"/>
      <c r="D69" s="13"/>
      <c r="E69" s="7" t="str">
        <f aca="false">IF(D69="","",IFERROR(INDEX(Materiali!$B:$B,MATCH(D69,Materiali!$A:$A,0)),"codice?"))</f>
        <v/>
      </c>
      <c r="F69" s="13"/>
      <c r="G69" s="13"/>
      <c r="H69" s="9" t="str">
        <f aca="false">IF(D69="","",IFERROR(INDEX(Materiali!$C:$C,MATCH(D69,Materiali!$A:$A,0)),0))</f>
        <v/>
      </c>
      <c r="I69" s="9" t="str">
        <f aca="false">IF(OR(G69="",H69=""),"",IF(F69="Uscita",-1,1)*G69*H69)</f>
        <v/>
      </c>
      <c r="J69" s="13"/>
      <c r="K69" s="13"/>
    </row>
    <row r="70" customFormat="false" ht="15" hidden="false" customHeight="false" outlineLevel="0" collapsed="false">
      <c r="A70" s="12"/>
      <c r="B70" s="13"/>
      <c r="C70" s="13"/>
      <c r="D70" s="13"/>
      <c r="E70" s="7" t="str">
        <f aca="false">IF(D70="","",IFERROR(INDEX(Materiali!$B:$B,MATCH(D70,Materiali!$A:$A,0)),"codice?"))</f>
        <v/>
      </c>
      <c r="F70" s="13"/>
      <c r="G70" s="13"/>
      <c r="H70" s="9" t="str">
        <f aca="false">IF(D70="","",IFERROR(INDEX(Materiali!$C:$C,MATCH(D70,Materiali!$A:$A,0)),0))</f>
        <v/>
      </c>
      <c r="I70" s="9" t="str">
        <f aca="false">IF(OR(G70="",H70=""),"",IF(F70="Uscita",-1,1)*G70*H70)</f>
        <v/>
      </c>
      <c r="J70" s="13"/>
      <c r="K70" s="13"/>
    </row>
    <row r="71" customFormat="false" ht="15" hidden="false" customHeight="false" outlineLevel="0" collapsed="false">
      <c r="A71" s="12"/>
      <c r="B71" s="13"/>
      <c r="C71" s="13"/>
      <c r="D71" s="13"/>
      <c r="E71" s="7" t="str">
        <f aca="false">IF(D71="","",IFERROR(INDEX(Materiali!$B:$B,MATCH(D71,Materiali!$A:$A,0)),"codice?"))</f>
        <v/>
      </c>
      <c r="F71" s="13"/>
      <c r="G71" s="13"/>
      <c r="H71" s="9" t="str">
        <f aca="false">IF(D71="","",IFERROR(INDEX(Materiali!$C:$C,MATCH(D71,Materiali!$A:$A,0)),0))</f>
        <v/>
      </c>
      <c r="I71" s="9" t="str">
        <f aca="false">IF(OR(G71="",H71=""),"",IF(F71="Uscita",-1,1)*G71*H71)</f>
        <v/>
      </c>
      <c r="J71" s="13"/>
      <c r="K71" s="13"/>
    </row>
    <row r="72" customFormat="false" ht="15" hidden="false" customHeight="false" outlineLevel="0" collapsed="false">
      <c r="A72" s="12"/>
      <c r="B72" s="13"/>
      <c r="C72" s="13"/>
      <c r="D72" s="13"/>
      <c r="E72" s="7" t="str">
        <f aca="false">IF(D72="","",IFERROR(INDEX(Materiali!$B:$B,MATCH(D72,Materiali!$A:$A,0)),"codice?"))</f>
        <v/>
      </c>
      <c r="F72" s="13"/>
      <c r="G72" s="13"/>
      <c r="H72" s="9" t="str">
        <f aca="false">IF(D72="","",IFERROR(INDEX(Materiali!$C:$C,MATCH(D72,Materiali!$A:$A,0)),0))</f>
        <v/>
      </c>
      <c r="I72" s="9" t="str">
        <f aca="false">IF(OR(G72="",H72=""),"",IF(F72="Uscita",-1,1)*G72*H72)</f>
        <v/>
      </c>
      <c r="J72" s="13"/>
      <c r="K72" s="13"/>
    </row>
    <row r="73" customFormat="false" ht="15" hidden="false" customHeight="false" outlineLevel="0" collapsed="false">
      <c r="A73" s="12"/>
      <c r="B73" s="13"/>
      <c r="C73" s="13"/>
      <c r="D73" s="13"/>
      <c r="E73" s="7" t="str">
        <f aca="false">IF(D73="","",IFERROR(INDEX(Materiali!$B:$B,MATCH(D73,Materiali!$A:$A,0)),"codice?"))</f>
        <v/>
      </c>
      <c r="F73" s="13"/>
      <c r="G73" s="13"/>
      <c r="H73" s="9" t="str">
        <f aca="false">IF(D73="","",IFERROR(INDEX(Materiali!$C:$C,MATCH(D73,Materiali!$A:$A,0)),0))</f>
        <v/>
      </c>
      <c r="I73" s="9" t="str">
        <f aca="false">IF(OR(G73="",H73=""),"",IF(F73="Uscita",-1,1)*G73*H73)</f>
        <v/>
      </c>
      <c r="J73" s="13"/>
      <c r="K73" s="13"/>
    </row>
    <row r="74" customFormat="false" ht="15" hidden="false" customHeight="false" outlineLevel="0" collapsed="false">
      <c r="A74" s="12"/>
      <c r="B74" s="13"/>
      <c r="C74" s="13"/>
      <c r="D74" s="13"/>
      <c r="E74" s="7" t="str">
        <f aca="false">IF(D74="","",IFERROR(INDEX(Materiali!$B:$B,MATCH(D74,Materiali!$A:$A,0)),"codice?"))</f>
        <v/>
      </c>
      <c r="F74" s="13"/>
      <c r="G74" s="13"/>
      <c r="H74" s="9" t="str">
        <f aca="false">IF(D74="","",IFERROR(INDEX(Materiali!$C:$C,MATCH(D74,Materiali!$A:$A,0)),0))</f>
        <v/>
      </c>
      <c r="I74" s="9" t="str">
        <f aca="false">IF(OR(G74="",H74=""),"",IF(F74="Uscita",-1,1)*G74*H74)</f>
        <v/>
      </c>
      <c r="J74" s="13"/>
      <c r="K74" s="13"/>
    </row>
    <row r="75" customFormat="false" ht="15" hidden="false" customHeight="false" outlineLevel="0" collapsed="false">
      <c r="A75" s="12"/>
      <c r="B75" s="13"/>
      <c r="C75" s="13"/>
      <c r="D75" s="13"/>
      <c r="E75" s="7" t="str">
        <f aca="false">IF(D75="","",IFERROR(INDEX(Materiali!$B:$B,MATCH(D75,Materiali!$A:$A,0)),"codice?"))</f>
        <v/>
      </c>
      <c r="F75" s="13"/>
      <c r="G75" s="13"/>
      <c r="H75" s="9" t="str">
        <f aca="false">IF(D75="","",IFERROR(INDEX(Materiali!$C:$C,MATCH(D75,Materiali!$A:$A,0)),0))</f>
        <v/>
      </c>
      <c r="I75" s="9" t="str">
        <f aca="false">IF(OR(G75="",H75=""),"",IF(F75="Uscita",-1,1)*G75*H75)</f>
        <v/>
      </c>
      <c r="J75" s="13"/>
      <c r="K75" s="13"/>
    </row>
    <row r="76" customFormat="false" ht="15" hidden="false" customHeight="false" outlineLevel="0" collapsed="false">
      <c r="A76" s="12"/>
      <c r="B76" s="13"/>
      <c r="C76" s="13"/>
      <c r="D76" s="13"/>
      <c r="E76" s="7" t="str">
        <f aca="false">IF(D76="","",IFERROR(INDEX(Materiali!$B:$B,MATCH(D76,Materiali!$A:$A,0)),"codice?"))</f>
        <v/>
      </c>
      <c r="F76" s="13"/>
      <c r="G76" s="13"/>
      <c r="H76" s="9" t="str">
        <f aca="false">IF(D76="","",IFERROR(INDEX(Materiali!$C:$C,MATCH(D76,Materiali!$A:$A,0)),0))</f>
        <v/>
      </c>
      <c r="I76" s="9" t="str">
        <f aca="false">IF(OR(G76="",H76=""),"",IF(F76="Uscita",-1,1)*G76*H76)</f>
        <v/>
      </c>
      <c r="J76" s="13"/>
      <c r="K76" s="13"/>
    </row>
    <row r="77" customFormat="false" ht="15" hidden="false" customHeight="false" outlineLevel="0" collapsed="false">
      <c r="A77" s="12"/>
      <c r="B77" s="13"/>
      <c r="C77" s="13"/>
      <c r="D77" s="13"/>
      <c r="E77" s="7" t="str">
        <f aca="false">IF(D77="","",IFERROR(INDEX(Materiali!$B:$B,MATCH(D77,Materiali!$A:$A,0)),"codice?"))</f>
        <v/>
      </c>
      <c r="F77" s="13"/>
      <c r="G77" s="13"/>
      <c r="H77" s="9" t="str">
        <f aca="false">IF(D77="","",IFERROR(INDEX(Materiali!$C:$C,MATCH(D77,Materiali!$A:$A,0)),0))</f>
        <v/>
      </c>
      <c r="I77" s="9" t="str">
        <f aca="false">IF(OR(G77="",H77=""),"",IF(F77="Uscita",-1,1)*G77*H77)</f>
        <v/>
      </c>
      <c r="J77" s="13"/>
      <c r="K77" s="13"/>
    </row>
    <row r="78" customFormat="false" ht="15" hidden="false" customHeight="false" outlineLevel="0" collapsed="false">
      <c r="A78" s="12"/>
      <c r="B78" s="13"/>
      <c r="C78" s="13"/>
      <c r="D78" s="13"/>
      <c r="E78" s="7" t="str">
        <f aca="false">IF(D78="","",IFERROR(INDEX(Materiali!$B:$B,MATCH(D78,Materiali!$A:$A,0)),"codice?"))</f>
        <v/>
      </c>
      <c r="F78" s="13"/>
      <c r="G78" s="13"/>
      <c r="H78" s="9" t="str">
        <f aca="false">IF(D78="","",IFERROR(INDEX(Materiali!$C:$C,MATCH(D78,Materiali!$A:$A,0)),0))</f>
        <v/>
      </c>
      <c r="I78" s="9" t="str">
        <f aca="false">IF(OR(G78="",H78=""),"",IF(F78="Uscita",-1,1)*G78*H78)</f>
        <v/>
      </c>
      <c r="J78" s="13"/>
      <c r="K78" s="13"/>
    </row>
    <row r="79" customFormat="false" ht="15" hidden="false" customHeight="false" outlineLevel="0" collapsed="false">
      <c r="A79" s="12"/>
      <c r="B79" s="13"/>
      <c r="C79" s="13"/>
      <c r="D79" s="13"/>
      <c r="E79" s="7" t="str">
        <f aca="false">IF(D79="","",IFERROR(INDEX(Materiali!$B:$B,MATCH(D79,Materiali!$A:$A,0)),"codice?"))</f>
        <v/>
      </c>
      <c r="F79" s="13"/>
      <c r="G79" s="13"/>
      <c r="H79" s="9" t="str">
        <f aca="false">IF(D79="","",IFERROR(INDEX(Materiali!$C:$C,MATCH(D79,Materiali!$A:$A,0)),0))</f>
        <v/>
      </c>
      <c r="I79" s="9" t="str">
        <f aca="false">IF(OR(G79="",H79=""),"",IF(F79="Uscita",-1,1)*G79*H79)</f>
        <v/>
      </c>
      <c r="J79" s="13"/>
      <c r="K79" s="13"/>
    </row>
    <row r="80" customFormat="false" ht="15" hidden="false" customHeight="false" outlineLevel="0" collapsed="false">
      <c r="A80" s="12"/>
      <c r="B80" s="13"/>
      <c r="C80" s="13"/>
      <c r="D80" s="13"/>
      <c r="E80" s="7" t="str">
        <f aca="false">IF(D80="","",IFERROR(INDEX(Materiali!$B:$B,MATCH(D80,Materiali!$A:$A,0)),"codice?"))</f>
        <v/>
      </c>
      <c r="F80" s="13"/>
      <c r="G80" s="13"/>
      <c r="H80" s="9" t="str">
        <f aca="false">IF(D80="","",IFERROR(INDEX(Materiali!$C:$C,MATCH(D80,Materiali!$A:$A,0)),0))</f>
        <v/>
      </c>
      <c r="I80" s="9" t="str">
        <f aca="false">IF(OR(G80="",H80=""),"",IF(F80="Uscita",-1,1)*G80*H80)</f>
        <v/>
      </c>
      <c r="J80" s="13"/>
      <c r="K80" s="13"/>
    </row>
    <row r="81" customFormat="false" ht="15" hidden="false" customHeight="false" outlineLevel="0" collapsed="false">
      <c r="A81" s="12"/>
      <c r="B81" s="13"/>
      <c r="C81" s="13"/>
      <c r="D81" s="13"/>
      <c r="E81" s="7" t="str">
        <f aca="false">IF(D81="","",IFERROR(INDEX(Materiali!$B:$B,MATCH(D81,Materiali!$A:$A,0)),"codice?"))</f>
        <v/>
      </c>
      <c r="F81" s="13"/>
      <c r="G81" s="13"/>
      <c r="H81" s="9" t="str">
        <f aca="false">IF(D81="","",IFERROR(INDEX(Materiali!$C:$C,MATCH(D81,Materiali!$A:$A,0)),0))</f>
        <v/>
      </c>
      <c r="I81" s="9" t="str">
        <f aca="false">IF(OR(G81="",H81=""),"",IF(F81="Uscita",-1,1)*G81*H81)</f>
        <v/>
      </c>
      <c r="J81" s="13"/>
      <c r="K81" s="13"/>
    </row>
    <row r="82" customFormat="false" ht="15" hidden="false" customHeight="false" outlineLevel="0" collapsed="false">
      <c r="A82" s="12"/>
      <c r="B82" s="13"/>
      <c r="C82" s="13"/>
      <c r="D82" s="13"/>
      <c r="E82" s="7" t="str">
        <f aca="false">IF(D82="","",IFERROR(INDEX(Materiali!$B:$B,MATCH(D82,Materiali!$A:$A,0)),"codice?"))</f>
        <v/>
      </c>
      <c r="F82" s="13"/>
      <c r="G82" s="13"/>
      <c r="H82" s="9" t="str">
        <f aca="false">IF(D82="","",IFERROR(INDEX(Materiali!$C:$C,MATCH(D82,Materiali!$A:$A,0)),0))</f>
        <v/>
      </c>
      <c r="I82" s="9" t="str">
        <f aca="false">IF(OR(G82="",H82=""),"",IF(F82="Uscita",-1,1)*G82*H82)</f>
        <v/>
      </c>
      <c r="J82" s="13"/>
      <c r="K82" s="13"/>
    </row>
    <row r="83" customFormat="false" ht="15" hidden="false" customHeight="false" outlineLevel="0" collapsed="false">
      <c r="A83" s="12"/>
      <c r="B83" s="13"/>
      <c r="C83" s="13"/>
      <c r="D83" s="13"/>
      <c r="E83" s="7" t="str">
        <f aca="false">IF(D83="","",IFERROR(INDEX(Materiali!$B:$B,MATCH(D83,Materiali!$A:$A,0)),"codice?"))</f>
        <v/>
      </c>
      <c r="F83" s="13"/>
      <c r="G83" s="13"/>
      <c r="H83" s="9" t="str">
        <f aca="false">IF(D83="","",IFERROR(INDEX(Materiali!$C:$C,MATCH(D83,Materiali!$A:$A,0)),0))</f>
        <v/>
      </c>
      <c r="I83" s="9" t="str">
        <f aca="false">IF(OR(G83="",H83=""),"",IF(F83="Uscita",-1,1)*G83*H83)</f>
        <v/>
      </c>
      <c r="J83" s="13"/>
      <c r="K83" s="13"/>
    </row>
    <row r="84" customFormat="false" ht="15" hidden="false" customHeight="false" outlineLevel="0" collapsed="false">
      <c r="A84" s="12"/>
      <c r="B84" s="13"/>
      <c r="C84" s="13"/>
      <c r="D84" s="13"/>
      <c r="E84" s="7" t="str">
        <f aca="false">IF(D84="","",IFERROR(INDEX(Materiali!$B:$B,MATCH(D84,Materiali!$A:$A,0)),"codice?"))</f>
        <v/>
      </c>
      <c r="F84" s="13"/>
      <c r="G84" s="13"/>
      <c r="H84" s="9" t="str">
        <f aca="false">IF(D84="","",IFERROR(INDEX(Materiali!$C:$C,MATCH(D84,Materiali!$A:$A,0)),0))</f>
        <v/>
      </c>
      <c r="I84" s="9" t="str">
        <f aca="false">IF(OR(G84="",H84=""),"",IF(F84="Uscita",-1,1)*G84*H84)</f>
        <v/>
      </c>
      <c r="J84" s="13"/>
      <c r="K84" s="13"/>
    </row>
    <row r="85" customFormat="false" ht="15" hidden="false" customHeight="false" outlineLevel="0" collapsed="false">
      <c r="A85" s="12"/>
      <c r="B85" s="13"/>
      <c r="C85" s="13"/>
      <c r="D85" s="13"/>
      <c r="E85" s="7" t="str">
        <f aca="false">IF(D85="","",IFERROR(INDEX(Materiali!$B:$B,MATCH(D85,Materiali!$A:$A,0)),"codice?"))</f>
        <v/>
      </c>
      <c r="F85" s="13"/>
      <c r="G85" s="13"/>
      <c r="H85" s="9" t="str">
        <f aca="false">IF(D85="","",IFERROR(INDEX(Materiali!$C:$C,MATCH(D85,Materiali!$A:$A,0)),0))</f>
        <v/>
      </c>
      <c r="I85" s="9" t="str">
        <f aca="false">IF(OR(G85="",H85=""),"",IF(F85="Uscita",-1,1)*G85*H85)</f>
        <v/>
      </c>
      <c r="J85" s="13"/>
      <c r="K85" s="13"/>
    </row>
    <row r="86" customFormat="false" ht="15" hidden="false" customHeight="false" outlineLevel="0" collapsed="false">
      <c r="A86" s="12"/>
      <c r="B86" s="13"/>
      <c r="C86" s="13"/>
      <c r="D86" s="13"/>
      <c r="E86" s="7" t="str">
        <f aca="false">IF(D86="","",IFERROR(INDEX(Materiali!$B:$B,MATCH(D86,Materiali!$A:$A,0)),"codice?"))</f>
        <v/>
      </c>
      <c r="F86" s="13"/>
      <c r="G86" s="13"/>
      <c r="H86" s="9" t="str">
        <f aca="false">IF(D86="","",IFERROR(INDEX(Materiali!$C:$C,MATCH(D86,Materiali!$A:$A,0)),0))</f>
        <v/>
      </c>
      <c r="I86" s="9" t="str">
        <f aca="false">IF(OR(G86="",H86=""),"",IF(F86="Uscita",-1,1)*G86*H86)</f>
        <v/>
      </c>
      <c r="J86" s="13"/>
      <c r="K86" s="13"/>
    </row>
    <row r="87" customFormat="false" ht="15" hidden="false" customHeight="false" outlineLevel="0" collapsed="false">
      <c r="A87" s="12"/>
      <c r="B87" s="13"/>
      <c r="C87" s="13"/>
      <c r="D87" s="13"/>
      <c r="E87" s="7" t="str">
        <f aca="false">IF(D87="","",IFERROR(INDEX(Materiali!$B:$B,MATCH(D87,Materiali!$A:$A,0)),"codice?"))</f>
        <v/>
      </c>
      <c r="F87" s="13"/>
      <c r="G87" s="13"/>
      <c r="H87" s="9" t="str">
        <f aca="false">IF(D87="","",IFERROR(INDEX(Materiali!$C:$C,MATCH(D87,Materiali!$A:$A,0)),0))</f>
        <v/>
      </c>
      <c r="I87" s="9" t="str">
        <f aca="false">IF(OR(G87="",H87=""),"",IF(F87="Uscita",-1,1)*G87*H87)</f>
        <v/>
      </c>
      <c r="J87" s="13"/>
      <c r="K87" s="13"/>
    </row>
    <row r="88" customFormat="false" ht="15" hidden="false" customHeight="false" outlineLevel="0" collapsed="false">
      <c r="A88" s="12"/>
      <c r="B88" s="13"/>
      <c r="C88" s="13"/>
      <c r="D88" s="13"/>
      <c r="E88" s="7" t="str">
        <f aca="false">IF(D88="","",IFERROR(INDEX(Materiali!$B:$B,MATCH(D88,Materiali!$A:$A,0)),"codice?"))</f>
        <v/>
      </c>
      <c r="F88" s="13"/>
      <c r="G88" s="13"/>
      <c r="H88" s="9" t="str">
        <f aca="false">IF(D88="","",IFERROR(INDEX(Materiali!$C:$C,MATCH(D88,Materiali!$A:$A,0)),0))</f>
        <v/>
      </c>
      <c r="I88" s="9" t="str">
        <f aca="false">IF(OR(G88="",H88=""),"",IF(F88="Uscita",-1,1)*G88*H88)</f>
        <v/>
      </c>
      <c r="J88" s="13"/>
      <c r="K88" s="13"/>
    </row>
    <row r="89" customFormat="false" ht="15" hidden="false" customHeight="false" outlineLevel="0" collapsed="false">
      <c r="A89" s="12"/>
      <c r="B89" s="13"/>
      <c r="C89" s="13"/>
      <c r="D89" s="13"/>
      <c r="E89" s="7" t="str">
        <f aca="false">IF(D89="","",IFERROR(INDEX(Materiali!$B:$B,MATCH(D89,Materiali!$A:$A,0)),"codice?"))</f>
        <v/>
      </c>
      <c r="F89" s="13"/>
      <c r="G89" s="13"/>
      <c r="H89" s="9" t="str">
        <f aca="false">IF(D89="","",IFERROR(INDEX(Materiali!$C:$C,MATCH(D89,Materiali!$A:$A,0)),0))</f>
        <v/>
      </c>
      <c r="I89" s="9" t="str">
        <f aca="false">IF(OR(G89="",H89=""),"",IF(F89="Uscita",-1,1)*G89*H89)</f>
        <v/>
      </c>
      <c r="J89" s="13"/>
      <c r="K89" s="13"/>
    </row>
    <row r="90" customFormat="false" ht="15" hidden="false" customHeight="false" outlineLevel="0" collapsed="false">
      <c r="A90" s="12"/>
      <c r="B90" s="13"/>
      <c r="C90" s="13"/>
      <c r="D90" s="13"/>
      <c r="E90" s="7" t="str">
        <f aca="false">IF(D90="","",IFERROR(INDEX(Materiali!$B:$B,MATCH(D90,Materiali!$A:$A,0)),"codice?"))</f>
        <v/>
      </c>
      <c r="F90" s="13"/>
      <c r="G90" s="13"/>
      <c r="H90" s="9" t="str">
        <f aca="false">IF(D90="","",IFERROR(INDEX(Materiali!$C:$C,MATCH(D90,Materiali!$A:$A,0)),0))</f>
        <v/>
      </c>
      <c r="I90" s="9" t="str">
        <f aca="false">IF(OR(G90="",H90=""),"",IF(F90="Uscita",-1,1)*G90*H90)</f>
        <v/>
      </c>
      <c r="J90" s="13"/>
      <c r="K90" s="13"/>
    </row>
    <row r="91" customFormat="false" ht="15" hidden="false" customHeight="false" outlineLevel="0" collapsed="false">
      <c r="A91" s="12"/>
      <c r="B91" s="13"/>
      <c r="C91" s="13"/>
      <c r="D91" s="13"/>
      <c r="E91" s="7" t="str">
        <f aca="false">IF(D91="","",IFERROR(INDEX(Materiali!$B:$B,MATCH(D91,Materiali!$A:$A,0)),"codice?"))</f>
        <v/>
      </c>
      <c r="F91" s="13"/>
      <c r="G91" s="13"/>
      <c r="H91" s="9" t="str">
        <f aca="false">IF(D91="","",IFERROR(INDEX(Materiali!$C:$C,MATCH(D91,Materiali!$A:$A,0)),0))</f>
        <v/>
      </c>
      <c r="I91" s="9" t="str">
        <f aca="false">IF(OR(G91="",H91=""),"",IF(F91="Uscita",-1,1)*G91*H91)</f>
        <v/>
      </c>
      <c r="J91" s="13"/>
      <c r="K91" s="13"/>
    </row>
    <row r="92" customFormat="false" ht="15" hidden="false" customHeight="false" outlineLevel="0" collapsed="false">
      <c r="A92" s="12"/>
      <c r="B92" s="13"/>
      <c r="C92" s="13"/>
      <c r="D92" s="13"/>
      <c r="E92" s="7" t="str">
        <f aca="false">IF(D92="","",IFERROR(INDEX(Materiali!$B:$B,MATCH(D92,Materiali!$A:$A,0)),"codice?"))</f>
        <v/>
      </c>
      <c r="F92" s="13"/>
      <c r="G92" s="13"/>
      <c r="H92" s="9" t="str">
        <f aca="false">IF(D92="","",IFERROR(INDEX(Materiali!$C:$C,MATCH(D92,Materiali!$A:$A,0)),0))</f>
        <v/>
      </c>
      <c r="I92" s="9" t="str">
        <f aca="false">IF(OR(G92="",H92=""),"",IF(F92="Uscita",-1,1)*G92*H92)</f>
        <v/>
      </c>
      <c r="J92" s="13"/>
      <c r="K92" s="13"/>
    </row>
    <row r="93" customFormat="false" ht="15" hidden="false" customHeight="false" outlineLevel="0" collapsed="false">
      <c r="A93" s="12"/>
      <c r="B93" s="13"/>
      <c r="C93" s="13"/>
      <c r="D93" s="13"/>
      <c r="E93" s="7" t="str">
        <f aca="false">IF(D93="","",IFERROR(INDEX(Materiali!$B:$B,MATCH(D93,Materiali!$A:$A,0)),"codice?"))</f>
        <v/>
      </c>
      <c r="F93" s="13"/>
      <c r="G93" s="13"/>
      <c r="H93" s="9" t="str">
        <f aca="false">IF(D93="","",IFERROR(INDEX(Materiali!$C:$C,MATCH(D93,Materiali!$A:$A,0)),0))</f>
        <v/>
      </c>
      <c r="I93" s="9" t="str">
        <f aca="false">IF(OR(G93="",H93=""),"",IF(F93="Uscita",-1,1)*G93*H93)</f>
        <v/>
      </c>
      <c r="J93" s="13"/>
      <c r="K93" s="13"/>
    </row>
    <row r="94" customFormat="false" ht="15" hidden="false" customHeight="false" outlineLevel="0" collapsed="false">
      <c r="A94" s="12"/>
      <c r="B94" s="13"/>
      <c r="C94" s="13"/>
      <c r="D94" s="13"/>
      <c r="E94" s="7" t="str">
        <f aca="false">IF(D94="","",IFERROR(INDEX(Materiali!$B:$B,MATCH(D94,Materiali!$A:$A,0)),"codice?"))</f>
        <v/>
      </c>
      <c r="F94" s="13"/>
      <c r="G94" s="13"/>
      <c r="H94" s="9" t="str">
        <f aca="false">IF(D94="","",IFERROR(INDEX(Materiali!$C:$C,MATCH(D94,Materiali!$A:$A,0)),0))</f>
        <v/>
      </c>
      <c r="I94" s="9" t="str">
        <f aca="false">IF(OR(G94="",H94=""),"",IF(F94="Uscita",-1,1)*G94*H94)</f>
        <v/>
      </c>
      <c r="J94" s="13"/>
      <c r="K94" s="13"/>
    </row>
    <row r="95" customFormat="false" ht="15" hidden="false" customHeight="false" outlineLevel="0" collapsed="false">
      <c r="A95" s="12"/>
      <c r="B95" s="13"/>
      <c r="C95" s="13"/>
      <c r="D95" s="13"/>
      <c r="E95" s="7" t="str">
        <f aca="false">IF(D95="","",IFERROR(INDEX(Materiali!$B:$B,MATCH(D95,Materiali!$A:$A,0)),"codice?"))</f>
        <v/>
      </c>
      <c r="F95" s="13"/>
      <c r="G95" s="13"/>
      <c r="H95" s="9" t="str">
        <f aca="false">IF(D95="","",IFERROR(INDEX(Materiali!$C:$C,MATCH(D95,Materiali!$A:$A,0)),0))</f>
        <v/>
      </c>
      <c r="I95" s="9" t="str">
        <f aca="false">IF(OR(G95="",H95=""),"",IF(F95="Uscita",-1,1)*G95*H95)</f>
        <v/>
      </c>
      <c r="J95" s="13"/>
      <c r="K95" s="13"/>
    </row>
    <row r="96" customFormat="false" ht="15" hidden="false" customHeight="false" outlineLevel="0" collapsed="false">
      <c r="A96" s="12"/>
      <c r="B96" s="13"/>
      <c r="C96" s="13"/>
      <c r="D96" s="13"/>
      <c r="E96" s="7" t="str">
        <f aca="false">IF(D96="","",IFERROR(INDEX(Materiali!$B:$B,MATCH(D96,Materiali!$A:$A,0)),"codice?"))</f>
        <v/>
      </c>
      <c r="F96" s="13"/>
      <c r="G96" s="13"/>
      <c r="H96" s="9" t="str">
        <f aca="false">IF(D96="","",IFERROR(INDEX(Materiali!$C:$C,MATCH(D96,Materiali!$A:$A,0)),0))</f>
        <v/>
      </c>
      <c r="I96" s="9" t="str">
        <f aca="false">IF(OR(G96="",H96=""),"",IF(F96="Uscita",-1,1)*G96*H96)</f>
        <v/>
      </c>
      <c r="J96" s="13"/>
      <c r="K96" s="13"/>
    </row>
    <row r="97" customFormat="false" ht="15" hidden="false" customHeight="false" outlineLevel="0" collapsed="false">
      <c r="A97" s="12"/>
      <c r="B97" s="13"/>
      <c r="C97" s="13"/>
      <c r="D97" s="13"/>
      <c r="E97" s="7" t="str">
        <f aca="false">IF(D97="","",IFERROR(INDEX(Materiali!$B:$B,MATCH(D97,Materiali!$A:$A,0)),"codice?"))</f>
        <v/>
      </c>
      <c r="F97" s="13"/>
      <c r="G97" s="13"/>
      <c r="H97" s="9" t="str">
        <f aca="false">IF(D97="","",IFERROR(INDEX(Materiali!$C:$C,MATCH(D97,Materiali!$A:$A,0)),0))</f>
        <v/>
      </c>
      <c r="I97" s="9" t="str">
        <f aca="false">IF(OR(G97="",H97=""),"",IF(F97="Uscita",-1,1)*G97*H97)</f>
        <v/>
      </c>
      <c r="J97" s="13"/>
      <c r="K97" s="13"/>
    </row>
    <row r="98" customFormat="false" ht="15" hidden="false" customHeight="false" outlineLevel="0" collapsed="false">
      <c r="A98" s="12"/>
      <c r="B98" s="13"/>
      <c r="C98" s="13"/>
      <c r="D98" s="13"/>
      <c r="E98" s="7" t="str">
        <f aca="false">IF(D98="","",IFERROR(INDEX(Materiali!$B:$B,MATCH(D98,Materiali!$A:$A,0)),"codice?"))</f>
        <v/>
      </c>
      <c r="F98" s="13"/>
      <c r="G98" s="13"/>
      <c r="H98" s="9" t="str">
        <f aca="false">IF(D98="","",IFERROR(INDEX(Materiali!$C:$C,MATCH(D98,Materiali!$A:$A,0)),0))</f>
        <v/>
      </c>
      <c r="I98" s="9" t="str">
        <f aca="false">IF(OR(G98="",H98=""),"",IF(F98="Uscita",-1,1)*G98*H98)</f>
        <v/>
      </c>
      <c r="J98" s="13"/>
      <c r="K98" s="13"/>
    </row>
    <row r="99" customFormat="false" ht="15" hidden="false" customHeight="false" outlineLevel="0" collapsed="false">
      <c r="A99" s="12"/>
      <c r="B99" s="13"/>
      <c r="C99" s="13"/>
      <c r="D99" s="13"/>
      <c r="E99" s="7" t="str">
        <f aca="false">IF(D99="","",IFERROR(INDEX(Materiali!$B:$B,MATCH(D99,Materiali!$A:$A,0)),"codice?"))</f>
        <v/>
      </c>
      <c r="F99" s="13"/>
      <c r="G99" s="13"/>
      <c r="H99" s="9" t="str">
        <f aca="false">IF(D99="","",IFERROR(INDEX(Materiali!$C:$C,MATCH(D99,Materiali!$A:$A,0)),0))</f>
        <v/>
      </c>
      <c r="I99" s="9" t="str">
        <f aca="false">IF(OR(G99="",H99=""),"",IF(F99="Uscita",-1,1)*G99*H99)</f>
        <v/>
      </c>
      <c r="J99" s="13"/>
      <c r="K99" s="13"/>
    </row>
    <row r="100" customFormat="false" ht="15" hidden="false" customHeight="false" outlineLevel="0" collapsed="false">
      <c r="A100" s="12"/>
      <c r="B100" s="13"/>
      <c r="C100" s="13"/>
      <c r="D100" s="13"/>
      <c r="E100" s="7" t="str">
        <f aca="false">IF(D100="","",IFERROR(INDEX(Materiali!$B:$B,MATCH(D100,Materiali!$A:$A,0)),"codice?"))</f>
        <v/>
      </c>
      <c r="F100" s="13"/>
      <c r="G100" s="13"/>
      <c r="H100" s="9" t="str">
        <f aca="false">IF(D100="","",IFERROR(INDEX(Materiali!$C:$C,MATCH(D100,Materiali!$A:$A,0)),0))</f>
        <v/>
      </c>
      <c r="I100" s="9" t="str">
        <f aca="false">IF(OR(G100="",H100=""),"",IF(F100="Uscita",-1,1)*G100*H100)</f>
        <v/>
      </c>
      <c r="J100" s="13"/>
      <c r="K100" s="13"/>
    </row>
    <row r="101" customFormat="false" ht="15" hidden="false" customHeight="false" outlineLevel="0" collapsed="false">
      <c r="A101" s="12"/>
      <c r="B101" s="13"/>
      <c r="C101" s="13"/>
      <c r="D101" s="13"/>
      <c r="E101" s="7" t="str">
        <f aca="false">IF(D101="","",IFERROR(INDEX(Materiali!$B:$B,MATCH(D101,Materiali!$A:$A,0)),"codice?"))</f>
        <v/>
      </c>
      <c r="F101" s="13"/>
      <c r="G101" s="13"/>
      <c r="H101" s="9" t="str">
        <f aca="false">IF(D101="","",IFERROR(INDEX(Materiali!$C:$C,MATCH(D101,Materiali!$A:$A,0)),0))</f>
        <v/>
      </c>
      <c r="I101" s="9" t="str">
        <f aca="false">IF(OR(G101="",H101=""),"",IF(F101="Uscita",-1,1)*G101*H101)</f>
        <v/>
      </c>
      <c r="J101" s="13"/>
      <c r="K101" s="13"/>
    </row>
    <row r="102" customFormat="false" ht="15" hidden="false" customHeight="false" outlineLevel="0" collapsed="false">
      <c r="A102" s="12"/>
      <c r="B102" s="13"/>
      <c r="C102" s="13"/>
      <c r="D102" s="13"/>
      <c r="E102" s="7" t="str">
        <f aca="false">IF(D102="","",IFERROR(INDEX(Materiali!$B:$B,MATCH(D102,Materiali!$A:$A,0)),"codice?"))</f>
        <v/>
      </c>
      <c r="F102" s="13"/>
      <c r="G102" s="13"/>
      <c r="H102" s="9" t="str">
        <f aca="false">IF(D102="","",IFERROR(INDEX(Materiali!$C:$C,MATCH(D102,Materiali!$A:$A,0)),0))</f>
        <v/>
      </c>
      <c r="I102" s="9" t="str">
        <f aca="false">IF(OR(G102="",H102=""),"",IF(F102="Uscita",-1,1)*G102*H102)</f>
        <v/>
      </c>
      <c r="J102" s="13"/>
      <c r="K102" s="13"/>
    </row>
    <row r="103" customFormat="false" ht="15" hidden="false" customHeight="false" outlineLevel="0" collapsed="false">
      <c r="A103" s="12"/>
      <c r="B103" s="13"/>
      <c r="C103" s="13"/>
      <c r="D103" s="13"/>
      <c r="E103" s="7" t="str">
        <f aca="false">IF(D103="","",IFERROR(INDEX(Materiali!$B:$B,MATCH(D103,Materiali!$A:$A,0)),"codice?"))</f>
        <v/>
      </c>
      <c r="F103" s="13"/>
      <c r="G103" s="13"/>
      <c r="H103" s="9" t="str">
        <f aca="false">IF(D103="","",IFERROR(INDEX(Materiali!$C:$C,MATCH(D103,Materiali!$A:$A,0)),0))</f>
        <v/>
      </c>
      <c r="I103" s="9" t="str">
        <f aca="false">IF(OR(G103="",H103=""),"",IF(F103="Uscita",-1,1)*G103*H103)</f>
        <v/>
      </c>
      <c r="J103" s="13"/>
      <c r="K103" s="13"/>
    </row>
    <row r="104" customFormat="false" ht="15" hidden="false" customHeight="false" outlineLevel="0" collapsed="false">
      <c r="A104" s="12"/>
      <c r="B104" s="13"/>
      <c r="C104" s="13"/>
      <c r="D104" s="13"/>
      <c r="E104" s="7" t="str">
        <f aca="false">IF(D104="","",IFERROR(INDEX(Materiali!$B:$B,MATCH(D104,Materiali!$A:$A,0)),"codice?"))</f>
        <v/>
      </c>
      <c r="F104" s="13"/>
      <c r="G104" s="13"/>
      <c r="H104" s="9" t="str">
        <f aca="false">IF(D104="","",IFERROR(INDEX(Materiali!$C:$C,MATCH(D104,Materiali!$A:$A,0)),0))</f>
        <v/>
      </c>
      <c r="I104" s="9" t="str">
        <f aca="false">IF(OR(G104="",H104=""),"",IF(F104="Uscita",-1,1)*G104*H104)</f>
        <v/>
      </c>
      <c r="J104" s="13"/>
      <c r="K104" s="13"/>
    </row>
    <row r="105" customFormat="false" ht="15" hidden="false" customHeight="false" outlineLevel="0" collapsed="false">
      <c r="A105" s="12"/>
      <c r="B105" s="13"/>
      <c r="C105" s="13"/>
      <c r="D105" s="13"/>
      <c r="E105" s="7" t="str">
        <f aca="false">IF(D105="","",IFERROR(INDEX(Materiali!$B:$B,MATCH(D105,Materiali!$A:$A,0)),"codice?"))</f>
        <v/>
      </c>
      <c r="F105" s="13"/>
      <c r="G105" s="13"/>
      <c r="H105" s="9" t="str">
        <f aca="false">IF(D105="","",IFERROR(INDEX(Materiali!$C:$C,MATCH(D105,Materiali!$A:$A,0)),0))</f>
        <v/>
      </c>
      <c r="I105" s="9" t="str">
        <f aca="false">IF(OR(G105="",H105=""),"",IF(F105="Uscita",-1,1)*G105*H105)</f>
        <v/>
      </c>
      <c r="J105" s="13"/>
      <c r="K105" s="13"/>
    </row>
    <row r="106" customFormat="false" ht="15" hidden="false" customHeight="false" outlineLevel="0" collapsed="false">
      <c r="A106" s="12"/>
      <c r="B106" s="13"/>
      <c r="C106" s="13"/>
      <c r="D106" s="13"/>
      <c r="E106" s="7" t="str">
        <f aca="false">IF(D106="","",IFERROR(INDEX(Materiali!$B:$B,MATCH(D106,Materiali!$A:$A,0)),"codice?"))</f>
        <v/>
      </c>
      <c r="F106" s="13"/>
      <c r="G106" s="13"/>
      <c r="H106" s="9" t="str">
        <f aca="false">IF(D106="","",IFERROR(INDEX(Materiali!$C:$C,MATCH(D106,Materiali!$A:$A,0)),0))</f>
        <v/>
      </c>
      <c r="I106" s="9" t="str">
        <f aca="false">IF(OR(G106="",H106=""),"",IF(F106="Uscita",-1,1)*G106*H106)</f>
        <v/>
      </c>
      <c r="J106" s="13"/>
      <c r="K106" s="13"/>
    </row>
    <row r="107" customFormat="false" ht="15" hidden="false" customHeight="false" outlineLevel="0" collapsed="false">
      <c r="A107" s="12"/>
      <c r="B107" s="13"/>
      <c r="C107" s="13"/>
      <c r="D107" s="13"/>
      <c r="E107" s="7" t="str">
        <f aca="false">IF(D107="","",IFERROR(INDEX(Materiali!$B:$B,MATCH(D107,Materiali!$A:$A,0)),"codice?"))</f>
        <v/>
      </c>
      <c r="F107" s="13"/>
      <c r="G107" s="13"/>
      <c r="H107" s="9" t="str">
        <f aca="false">IF(D107="","",IFERROR(INDEX(Materiali!$C:$C,MATCH(D107,Materiali!$A:$A,0)),0))</f>
        <v/>
      </c>
      <c r="I107" s="9" t="str">
        <f aca="false">IF(OR(G107="",H107=""),"",IF(F107="Uscita",-1,1)*G107*H107)</f>
        <v/>
      </c>
      <c r="J107" s="13"/>
      <c r="K107" s="13"/>
    </row>
    <row r="108" customFormat="false" ht="15" hidden="false" customHeight="false" outlineLevel="0" collapsed="false">
      <c r="A108" s="12"/>
      <c r="B108" s="13"/>
      <c r="C108" s="13"/>
      <c r="D108" s="13"/>
      <c r="E108" s="7" t="str">
        <f aca="false">IF(D108="","",IFERROR(INDEX(Materiali!$B:$B,MATCH(D108,Materiali!$A:$A,0)),"codice?"))</f>
        <v/>
      </c>
      <c r="F108" s="13"/>
      <c r="G108" s="13"/>
      <c r="H108" s="9" t="str">
        <f aca="false">IF(D108="","",IFERROR(INDEX(Materiali!$C:$C,MATCH(D108,Materiali!$A:$A,0)),0))</f>
        <v/>
      </c>
      <c r="I108" s="9" t="str">
        <f aca="false">IF(OR(G108="",H108=""),"",IF(F108="Uscita",-1,1)*G108*H108)</f>
        <v/>
      </c>
      <c r="J108" s="13"/>
      <c r="K108" s="13"/>
    </row>
    <row r="109" customFormat="false" ht="15" hidden="false" customHeight="false" outlineLevel="0" collapsed="false">
      <c r="A109" s="12"/>
      <c r="B109" s="13"/>
      <c r="C109" s="13"/>
      <c r="D109" s="13"/>
      <c r="E109" s="7" t="str">
        <f aca="false">IF(D109="","",IFERROR(INDEX(Materiali!$B:$B,MATCH(D109,Materiali!$A:$A,0)),"codice?"))</f>
        <v/>
      </c>
      <c r="F109" s="13"/>
      <c r="G109" s="13"/>
      <c r="H109" s="9" t="str">
        <f aca="false">IF(D109="","",IFERROR(INDEX(Materiali!$C:$C,MATCH(D109,Materiali!$A:$A,0)),0))</f>
        <v/>
      </c>
      <c r="I109" s="9" t="str">
        <f aca="false">IF(OR(G109="",H109=""),"",IF(F109="Uscita",-1,1)*G109*H109)</f>
        <v/>
      </c>
      <c r="J109" s="13"/>
      <c r="K109" s="13"/>
    </row>
    <row r="110" customFormat="false" ht="15" hidden="false" customHeight="false" outlineLevel="0" collapsed="false">
      <c r="A110" s="12"/>
      <c r="B110" s="13"/>
      <c r="C110" s="13"/>
      <c r="D110" s="13"/>
      <c r="E110" s="7" t="str">
        <f aca="false">IF(D110="","",IFERROR(INDEX(Materiali!$B:$B,MATCH(D110,Materiali!$A:$A,0)),"codice?"))</f>
        <v/>
      </c>
      <c r="F110" s="13"/>
      <c r="G110" s="13"/>
      <c r="H110" s="9" t="str">
        <f aca="false">IF(D110="","",IFERROR(INDEX(Materiali!$C:$C,MATCH(D110,Materiali!$A:$A,0)),0))</f>
        <v/>
      </c>
      <c r="I110" s="9" t="str">
        <f aca="false">IF(OR(G110="",H110=""),"",IF(F110="Uscita",-1,1)*G110*H110)</f>
        <v/>
      </c>
      <c r="J110" s="13"/>
      <c r="K110" s="13"/>
    </row>
    <row r="111" customFormat="false" ht="15" hidden="false" customHeight="false" outlineLevel="0" collapsed="false">
      <c r="A111" s="12"/>
      <c r="B111" s="13"/>
      <c r="C111" s="13"/>
      <c r="D111" s="13"/>
      <c r="E111" s="7" t="str">
        <f aca="false">IF(D111="","",IFERROR(INDEX(Materiali!$B:$B,MATCH(D111,Materiali!$A:$A,0)),"codice?"))</f>
        <v/>
      </c>
      <c r="F111" s="13"/>
      <c r="G111" s="13"/>
      <c r="H111" s="9" t="str">
        <f aca="false">IF(D111="","",IFERROR(INDEX(Materiali!$C:$C,MATCH(D111,Materiali!$A:$A,0)),0))</f>
        <v/>
      </c>
      <c r="I111" s="9" t="str">
        <f aca="false">IF(OR(G111="",H111=""),"",IF(F111="Uscita",-1,1)*G111*H111)</f>
        <v/>
      </c>
      <c r="J111" s="13"/>
      <c r="K111" s="13"/>
    </row>
    <row r="112" customFormat="false" ht="15" hidden="false" customHeight="false" outlineLevel="0" collapsed="false">
      <c r="A112" s="12"/>
      <c r="B112" s="13"/>
      <c r="C112" s="13"/>
      <c r="D112" s="13"/>
      <c r="E112" s="7" t="str">
        <f aca="false">IF(D112="","",IFERROR(INDEX(Materiali!$B:$B,MATCH(D112,Materiali!$A:$A,0)),"codice?"))</f>
        <v/>
      </c>
      <c r="F112" s="13"/>
      <c r="G112" s="13"/>
      <c r="H112" s="9" t="str">
        <f aca="false">IF(D112="","",IFERROR(INDEX(Materiali!$C:$C,MATCH(D112,Materiali!$A:$A,0)),0))</f>
        <v/>
      </c>
      <c r="I112" s="9" t="str">
        <f aca="false">IF(OR(G112="",H112=""),"",IF(F112="Uscita",-1,1)*G112*H112)</f>
        <v/>
      </c>
      <c r="J112" s="13"/>
      <c r="K112" s="13"/>
    </row>
    <row r="113" customFormat="false" ht="15" hidden="false" customHeight="false" outlineLevel="0" collapsed="false">
      <c r="A113" s="12"/>
      <c r="B113" s="13"/>
      <c r="C113" s="13"/>
      <c r="D113" s="13"/>
      <c r="E113" s="7" t="str">
        <f aca="false">IF(D113="","",IFERROR(INDEX(Materiali!$B:$B,MATCH(D113,Materiali!$A:$A,0)),"codice?"))</f>
        <v/>
      </c>
      <c r="F113" s="13"/>
      <c r="G113" s="13"/>
      <c r="H113" s="9" t="str">
        <f aca="false">IF(D113="","",IFERROR(INDEX(Materiali!$C:$C,MATCH(D113,Materiali!$A:$A,0)),0))</f>
        <v/>
      </c>
      <c r="I113" s="9" t="str">
        <f aca="false">IF(OR(G113="",H113=""),"",IF(F113="Uscita",-1,1)*G113*H113)</f>
        <v/>
      </c>
      <c r="J113" s="13"/>
      <c r="K113" s="13"/>
    </row>
    <row r="114" customFormat="false" ht="15" hidden="false" customHeight="false" outlineLevel="0" collapsed="false">
      <c r="A114" s="12"/>
      <c r="B114" s="13"/>
      <c r="C114" s="13"/>
      <c r="D114" s="13"/>
      <c r="E114" s="7" t="str">
        <f aca="false">IF(D114="","",IFERROR(INDEX(Materiali!$B:$B,MATCH(D114,Materiali!$A:$A,0)),"codice?"))</f>
        <v/>
      </c>
      <c r="F114" s="13"/>
      <c r="G114" s="13"/>
      <c r="H114" s="9" t="str">
        <f aca="false">IF(D114="","",IFERROR(INDEX(Materiali!$C:$C,MATCH(D114,Materiali!$A:$A,0)),0))</f>
        <v/>
      </c>
      <c r="I114" s="9" t="str">
        <f aca="false">IF(OR(G114="",H114=""),"",IF(F114="Uscita",-1,1)*G114*H114)</f>
        <v/>
      </c>
      <c r="J114" s="13"/>
      <c r="K114" s="13"/>
    </row>
    <row r="115" customFormat="false" ht="15" hidden="false" customHeight="false" outlineLevel="0" collapsed="false">
      <c r="A115" s="12"/>
      <c r="B115" s="13"/>
      <c r="C115" s="13"/>
      <c r="D115" s="13"/>
      <c r="E115" s="7" t="str">
        <f aca="false">IF(D115="","",IFERROR(INDEX(Materiali!$B:$B,MATCH(D115,Materiali!$A:$A,0)),"codice?"))</f>
        <v/>
      </c>
      <c r="F115" s="13"/>
      <c r="G115" s="13"/>
      <c r="H115" s="9" t="str">
        <f aca="false">IF(D115="","",IFERROR(INDEX(Materiali!$C:$C,MATCH(D115,Materiali!$A:$A,0)),0))</f>
        <v/>
      </c>
      <c r="I115" s="9" t="str">
        <f aca="false">IF(OR(G115="",H115=""),"",IF(F115="Uscita",-1,1)*G115*H115)</f>
        <v/>
      </c>
      <c r="J115" s="13"/>
      <c r="K115" s="13"/>
    </row>
    <row r="116" customFormat="false" ht="15" hidden="false" customHeight="false" outlineLevel="0" collapsed="false">
      <c r="A116" s="12"/>
      <c r="B116" s="13"/>
      <c r="C116" s="13"/>
      <c r="D116" s="13"/>
      <c r="E116" s="7" t="str">
        <f aca="false">IF(D116="","",IFERROR(INDEX(Materiali!$B:$B,MATCH(D116,Materiali!$A:$A,0)),"codice?"))</f>
        <v/>
      </c>
      <c r="F116" s="13"/>
      <c r="G116" s="13"/>
      <c r="H116" s="9" t="str">
        <f aca="false">IF(D116="","",IFERROR(INDEX(Materiali!$C:$C,MATCH(D116,Materiali!$A:$A,0)),0))</f>
        <v/>
      </c>
      <c r="I116" s="9" t="str">
        <f aca="false">IF(OR(G116="",H116=""),"",IF(F116="Uscita",-1,1)*G116*H116)</f>
        <v/>
      </c>
      <c r="J116" s="13"/>
      <c r="K116" s="13"/>
    </row>
    <row r="117" customFormat="false" ht="15" hidden="false" customHeight="false" outlineLevel="0" collapsed="false">
      <c r="A117" s="12"/>
      <c r="B117" s="13"/>
      <c r="C117" s="13"/>
      <c r="D117" s="13"/>
      <c r="E117" s="7" t="str">
        <f aca="false">IF(D117="","",IFERROR(INDEX(Materiali!$B:$B,MATCH(D117,Materiali!$A:$A,0)),"codice?"))</f>
        <v/>
      </c>
      <c r="F117" s="13"/>
      <c r="G117" s="13"/>
      <c r="H117" s="9" t="str">
        <f aca="false">IF(D117="","",IFERROR(INDEX(Materiali!$C:$C,MATCH(D117,Materiali!$A:$A,0)),0))</f>
        <v/>
      </c>
      <c r="I117" s="9" t="str">
        <f aca="false">IF(OR(G117="",H117=""),"",IF(F117="Uscita",-1,1)*G117*H117)</f>
        <v/>
      </c>
      <c r="J117" s="13"/>
      <c r="K117" s="13"/>
    </row>
    <row r="118" customFormat="false" ht="15" hidden="false" customHeight="false" outlineLevel="0" collapsed="false">
      <c r="A118" s="12"/>
      <c r="B118" s="13"/>
      <c r="C118" s="13"/>
      <c r="D118" s="13"/>
      <c r="E118" s="7" t="str">
        <f aca="false">IF(D118="","",IFERROR(INDEX(Materiali!$B:$B,MATCH(D118,Materiali!$A:$A,0)),"codice?"))</f>
        <v/>
      </c>
      <c r="F118" s="13"/>
      <c r="G118" s="13"/>
      <c r="H118" s="9" t="str">
        <f aca="false">IF(D118="","",IFERROR(INDEX(Materiali!$C:$C,MATCH(D118,Materiali!$A:$A,0)),0))</f>
        <v/>
      </c>
      <c r="I118" s="9" t="str">
        <f aca="false">IF(OR(G118="",H118=""),"",IF(F118="Uscita",-1,1)*G118*H118)</f>
        <v/>
      </c>
      <c r="J118" s="13"/>
      <c r="K118" s="13"/>
    </row>
    <row r="119" customFormat="false" ht="15" hidden="false" customHeight="false" outlineLevel="0" collapsed="false">
      <c r="A119" s="12"/>
      <c r="B119" s="13"/>
      <c r="C119" s="13"/>
      <c r="D119" s="13"/>
      <c r="E119" s="7" t="str">
        <f aca="false">IF(D119="","",IFERROR(INDEX(Materiali!$B:$B,MATCH(D119,Materiali!$A:$A,0)),"codice?"))</f>
        <v/>
      </c>
      <c r="F119" s="13"/>
      <c r="G119" s="13"/>
      <c r="H119" s="9" t="str">
        <f aca="false">IF(D119="","",IFERROR(INDEX(Materiali!$C:$C,MATCH(D119,Materiali!$A:$A,0)),0))</f>
        <v/>
      </c>
      <c r="I119" s="9" t="str">
        <f aca="false">IF(OR(G119="",H119=""),"",IF(F119="Uscita",-1,1)*G119*H119)</f>
        <v/>
      </c>
      <c r="J119" s="13"/>
      <c r="K119" s="13"/>
    </row>
    <row r="120" customFormat="false" ht="15" hidden="false" customHeight="false" outlineLevel="0" collapsed="false">
      <c r="A120" s="12"/>
      <c r="B120" s="13"/>
      <c r="C120" s="13"/>
      <c r="D120" s="13"/>
      <c r="E120" s="7" t="str">
        <f aca="false">IF(D120="","",IFERROR(INDEX(Materiali!$B:$B,MATCH(D120,Materiali!$A:$A,0)),"codice?"))</f>
        <v/>
      </c>
      <c r="F120" s="13"/>
      <c r="G120" s="13"/>
      <c r="H120" s="9" t="str">
        <f aca="false">IF(D120="","",IFERROR(INDEX(Materiali!$C:$C,MATCH(D120,Materiali!$A:$A,0)),0))</f>
        <v/>
      </c>
      <c r="I120" s="9" t="str">
        <f aca="false">IF(OR(G120="",H120=""),"",IF(F120="Uscita",-1,1)*G120*H120)</f>
        <v/>
      </c>
      <c r="J120" s="13"/>
      <c r="K120" s="13"/>
    </row>
    <row r="121" customFormat="false" ht="15" hidden="false" customHeight="false" outlineLevel="0" collapsed="false">
      <c r="A121" s="12"/>
      <c r="B121" s="13"/>
      <c r="C121" s="13"/>
      <c r="D121" s="13"/>
      <c r="E121" s="7" t="str">
        <f aca="false">IF(D121="","",IFERROR(INDEX(Materiali!$B:$B,MATCH(D121,Materiali!$A:$A,0)),"codice?"))</f>
        <v/>
      </c>
      <c r="F121" s="13"/>
      <c r="G121" s="13"/>
      <c r="H121" s="9" t="str">
        <f aca="false">IF(D121="","",IFERROR(INDEX(Materiali!$C:$C,MATCH(D121,Materiali!$A:$A,0)),0))</f>
        <v/>
      </c>
      <c r="I121" s="9" t="str">
        <f aca="false">IF(OR(G121="",H121=""),"",IF(F121="Uscita",-1,1)*G121*H121)</f>
        <v/>
      </c>
      <c r="J121" s="13"/>
      <c r="K121" s="13"/>
    </row>
    <row r="122" customFormat="false" ht="15" hidden="false" customHeight="false" outlineLevel="0" collapsed="false">
      <c r="A122" s="12"/>
      <c r="B122" s="13"/>
      <c r="C122" s="13"/>
      <c r="D122" s="13"/>
      <c r="E122" s="7" t="str">
        <f aca="false">IF(D122="","",IFERROR(INDEX(Materiali!$B:$B,MATCH(D122,Materiali!$A:$A,0)),"codice?"))</f>
        <v/>
      </c>
      <c r="F122" s="13"/>
      <c r="G122" s="13"/>
      <c r="H122" s="9" t="str">
        <f aca="false">IF(D122="","",IFERROR(INDEX(Materiali!$C:$C,MATCH(D122,Materiali!$A:$A,0)),0))</f>
        <v/>
      </c>
      <c r="I122" s="9" t="str">
        <f aca="false">IF(OR(G122="",H122=""),"",IF(F122="Uscita",-1,1)*G122*H122)</f>
        <v/>
      </c>
      <c r="J122" s="13"/>
      <c r="K122" s="13"/>
    </row>
    <row r="123" customFormat="false" ht="15" hidden="false" customHeight="false" outlineLevel="0" collapsed="false">
      <c r="A123" s="12"/>
      <c r="B123" s="13"/>
      <c r="C123" s="13"/>
      <c r="D123" s="13"/>
      <c r="E123" s="7" t="str">
        <f aca="false">IF(D123="","",IFERROR(INDEX(Materiali!$B:$B,MATCH(D123,Materiali!$A:$A,0)),"codice?"))</f>
        <v/>
      </c>
      <c r="F123" s="13"/>
      <c r="G123" s="13"/>
      <c r="H123" s="9" t="str">
        <f aca="false">IF(D123="","",IFERROR(INDEX(Materiali!$C:$C,MATCH(D123,Materiali!$A:$A,0)),0))</f>
        <v/>
      </c>
      <c r="I123" s="9" t="str">
        <f aca="false">IF(OR(G123="",H123=""),"",IF(F123="Uscita",-1,1)*G123*H123)</f>
        <v/>
      </c>
      <c r="J123" s="13"/>
      <c r="K123" s="13"/>
    </row>
    <row r="124" customFormat="false" ht="15" hidden="false" customHeight="false" outlineLevel="0" collapsed="false">
      <c r="A124" s="12"/>
      <c r="B124" s="13"/>
      <c r="C124" s="13"/>
      <c r="D124" s="13"/>
      <c r="E124" s="7" t="str">
        <f aca="false">IF(D124="","",IFERROR(INDEX(Materiali!$B:$B,MATCH(D124,Materiali!$A:$A,0)),"codice?"))</f>
        <v/>
      </c>
      <c r="F124" s="13"/>
      <c r="G124" s="13"/>
      <c r="H124" s="9" t="str">
        <f aca="false">IF(D124="","",IFERROR(INDEX(Materiali!$C:$C,MATCH(D124,Materiali!$A:$A,0)),0))</f>
        <v/>
      </c>
      <c r="I124" s="9" t="str">
        <f aca="false">IF(OR(G124="",H124=""),"",IF(F124="Uscita",-1,1)*G124*H124)</f>
        <v/>
      </c>
      <c r="J124" s="13"/>
      <c r="K124" s="13"/>
    </row>
    <row r="125" customFormat="false" ht="15" hidden="false" customHeight="false" outlineLevel="0" collapsed="false">
      <c r="A125" s="12"/>
      <c r="B125" s="13"/>
      <c r="C125" s="13"/>
      <c r="D125" s="13"/>
      <c r="E125" s="7" t="str">
        <f aca="false">IF(D125="","",IFERROR(INDEX(Materiali!$B:$B,MATCH(D125,Materiali!$A:$A,0)),"codice?"))</f>
        <v/>
      </c>
      <c r="F125" s="13"/>
      <c r="G125" s="13"/>
      <c r="H125" s="9" t="str">
        <f aca="false">IF(D125="","",IFERROR(INDEX(Materiali!$C:$C,MATCH(D125,Materiali!$A:$A,0)),0))</f>
        <v/>
      </c>
      <c r="I125" s="9" t="str">
        <f aca="false">IF(OR(G125="",H125=""),"",IF(F125="Uscita",-1,1)*G125*H125)</f>
        <v/>
      </c>
      <c r="J125" s="13"/>
      <c r="K125" s="13"/>
    </row>
    <row r="126" customFormat="false" ht="15" hidden="false" customHeight="false" outlineLevel="0" collapsed="false">
      <c r="A126" s="12"/>
      <c r="B126" s="13"/>
      <c r="C126" s="13"/>
      <c r="D126" s="13"/>
      <c r="E126" s="7" t="str">
        <f aca="false">IF(D126="","",IFERROR(INDEX(Materiali!$B:$B,MATCH(D126,Materiali!$A:$A,0)),"codice?"))</f>
        <v/>
      </c>
      <c r="F126" s="13"/>
      <c r="G126" s="13"/>
      <c r="H126" s="9" t="str">
        <f aca="false">IF(D126="","",IFERROR(INDEX(Materiali!$C:$C,MATCH(D126,Materiali!$A:$A,0)),0))</f>
        <v/>
      </c>
      <c r="I126" s="9" t="str">
        <f aca="false">IF(OR(G126="",H126=""),"",IF(F126="Uscita",-1,1)*G126*H126)</f>
        <v/>
      </c>
      <c r="J126" s="13"/>
      <c r="K126" s="13"/>
    </row>
    <row r="127" customFormat="false" ht="15" hidden="false" customHeight="false" outlineLevel="0" collapsed="false">
      <c r="A127" s="12"/>
      <c r="B127" s="13"/>
      <c r="C127" s="13"/>
      <c r="D127" s="13"/>
      <c r="E127" s="7" t="str">
        <f aca="false">IF(D127="","",IFERROR(INDEX(Materiali!$B:$B,MATCH(D127,Materiali!$A:$A,0)),"codice?"))</f>
        <v/>
      </c>
      <c r="F127" s="13"/>
      <c r="G127" s="13"/>
      <c r="H127" s="9" t="str">
        <f aca="false">IF(D127="","",IFERROR(INDEX(Materiali!$C:$C,MATCH(D127,Materiali!$A:$A,0)),0))</f>
        <v/>
      </c>
      <c r="I127" s="9" t="str">
        <f aca="false">IF(OR(G127="",H127=""),"",IF(F127="Uscita",-1,1)*G127*H127)</f>
        <v/>
      </c>
      <c r="J127" s="13"/>
      <c r="K127" s="13"/>
    </row>
    <row r="128" customFormat="false" ht="15" hidden="false" customHeight="false" outlineLevel="0" collapsed="false">
      <c r="A128" s="12"/>
      <c r="B128" s="13"/>
      <c r="C128" s="13"/>
      <c r="D128" s="13"/>
      <c r="E128" s="7" t="str">
        <f aca="false">IF(D128="","",IFERROR(INDEX(Materiali!$B:$B,MATCH(D128,Materiali!$A:$A,0)),"codice?"))</f>
        <v/>
      </c>
      <c r="F128" s="13"/>
      <c r="G128" s="13"/>
      <c r="H128" s="9" t="str">
        <f aca="false">IF(D128="","",IFERROR(INDEX(Materiali!$C:$C,MATCH(D128,Materiali!$A:$A,0)),0))</f>
        <v/>
      </c>
      <c r="I128" s="9" t="str">
        <f aca="false">IF(OR(G128="",H128=""),"",IF(F128="Uscita",-1,1)*G128*H128)</f>
        <v/>
      </c>
      <c r="J128" s="13"/>
      <c r="K128" s="13"/>
    </row>
    <row r="129" customFormat="false" ht="15" hidden="false" customHeight="false" outlineLevel="0" collapsed="false">
      <c r="A129" s="12"/>
      <c r="B129" s="13"/>
      <c r="C129" s="13"/>
      <c r="D129" s="13"/>
      <c r="E129" s="7" t="str">
        <f aca="false">IF(D129="","",IFERROR(INDEX(Materiali!$B:$B,MATCH(D129,Materiali!$A:$A,0)),"codice?"))</f>
        <v/>
      </c>
      <c r="F129" s="13"/>
      <c r="G129" s="13"/>
      <c r="H129" s="9" t="str">
        <f aca="false">IF(D129="","",IFERROR(INDEX(Materiali!$C:$C,MATCH(D129,Materiali!$A:$A,0)),0))</f>
        <v/>
      </c>
      <c r="I129" s="9" t="str">
        <f aca="false">IF(OR(G129="",H129=""),"",IF(F129="Uscita",-1,1)*G129*H129)</f>
        <v/>
      </c>
      <c r="J129" s="13"/>
      <c r="K129" s="13"/>
    </row>
    <row r="130" customFormat="false" ht="15" hidden="false" customHeight="false" outlineLevel="0" collapsed="false">
      <c r="A130" s="12"/>
      <c r="B130" s="13"/>
      <c r="C130" s="13"/>
      <c r="D130" s="13"/>
      <c r="E130" s="7" t="str">
        <f aca="false">IF(D130="","",IFERROR(INDEX(Materiali!$B:$B,MATCH(D130,Materiali!$A:$A,0)),"codice?"))</f>
        <v/>
      </c>
      <c r="F130" s="13"/>
      <c r="G130" s="13"/>
      <c r="H130" s="9" t="str">
        <f aca="false">IF(D130="","",IFERROR(INDEX(Materiali!$C:$C,MATCH(D130,Materiali!$A:$A,0)),0))</f>
        <v/>
      </c>
      <c r="I130" s="9" t="str">
        <f aca="false">IF(OR(G130="",H130=""),"",IF(F130="Uscita",-1,1)*G130*H130)</f>
        <v/>
      </c>
      <c r="J130" s="13"/>
      <c r="K130" s="13"/>
    </row>
    <row r="131" customFormat="false" ht="15" hidden="false" customHeight="false" outlineLevel="0" collapsed="false">
      <c r="A131" s="12"/>
      <c r="B131" s="13"/>
      <c r="C131" s="13"/>
      <c r="D131" s="13"/>
      <c r="E131" s="7" t="str">
        <f aca="false">IF(D131="","",IFERROR(INDEX(Materiali!$B:$B,MATCH(D131,Materiali!$A:$A,0)),"codice?"))</f>
        <v/>
      </c>
      <c r="F131" s="13"/>
      <c r="G131" s="13"/>
      <c r="H131" s="9" t="str">
        <f aca="false">IF(D131="","",IFERROR(INDEX(Materiali!$C:$C,MATCH(D131,Materiali!$A:$A,0)),0))</f>
        <v/>
      </c>
      <c r="I131" s="9" t="str">
        <f aca="false">IF(OR(G131="",H131=""),"",IF(F131="Uscita",-1,1)*G131*H131)</f>
        <v/>
      </c>
      <c r="J131" s="13"/>
      <c r="K131" s="13"/>
    </row>
    <row r="132" customFormat="false" ht="15" hidden="false" customHeight="false" outlineLevel="0" collapsed="false">
      <c r="A132" s="12"/>
      <c r="B132" s="13"/>
      <c r="C132" s="13"/>
      <c r="D132" s="13"/>
      <c r="E132" s="7" t="str">
        <f aca="false">IF(D132="","",IFERROR(INDEX(Materiali!$B:$B,MATCH(D132,Materiali!$A:$A,0)),"codice?"))</f>
        <v/>
      </c>
      <c r="F132" s="13"/>
      <c r="G132" s="13"/>
      <c r="H132" s="9" t="str">
        <f aca="false">IF(D132="","",IFERROR(INDEX(Materiali!$C:$C,MATCH(D132,Materiali!$A:$A,0)),0))</f>
        <v/>
      </c>
      <c r="I132" s="9" t="str">
        <f aca="false">IF(OR(G132="",H132=""),"",IF(F132="Uscita",-1,1)*G132*H132)</f>
        <v/>
      </c>
      <c r="J132" s="13"/>
      <c r="K132" s="13"/>
    </row>
    <row r="133" customFormat="false" ht="15" hidden="false" customHeight="false" outlineLevel="0" collapsed="false">
      <c r="A133" s="12"/>
      <c r="B133" s="13"/>
      <c r="C133" s="13"/>
      <c r="D133" s="13"/>
      <c r="E133" s="7" t="str">
        <f aca="false">IF(D133="","",IFERROR(INDEX(Materiali!$B:$B,MATCH(D133,Materiali!$A:$A,0)),"codice?"))</f>
        <v/>
      </c>
      <c r="F133" s="13"/>
      <c r="G133" s="13"/>
      <c r="H133" s="9" t="str">
        <f aca="false">IF(D133="","",IFERROR(INDEX(Materiali!$C:$C,MATCH(D133,Materiali!$A:$A,0)),0))</f>
        <v/>
      </c>
      <c r="I133" s="9" t="str">
        <f aca="false">IF(OR(G133="",H133=""),"",IF(F133="Uscita",-1,1)*G133*H133)</f>
        <v/>
      </c>
      <c r="J133" s="13"/>
      <c r="K133" s="13"/>
    </row>
    <row r="134" customFormat="false" ht="15" hidden="false" customHeight="false" outlineLevel="0" collapsed="false">
      <c r="A134" s="12"/>
      <c r="B134" s="13"/>
      <c r="C134" s="13"/>
      <c r="D134" s="13"/>
      <c r="E134" s="7" t="str">
        <f aca="false">IF(D134="","",IFERROR(INDEX(Materiali!$B:$B,MATCH(D134,Materiali!$A:$A,0)),"codice?"))</f>
        <v/>
      </c>
      <c r="F134" s="13"/>
      <c r="G134" s="13"/>
      <c r="H134" s="9" t="str">
        <f aca="false">IF(D134="","",IFERROR(INDEX(Materiali!$C:$C,MATCH(D134,Materiali!$A:$A,0)),0))</f>
        <v/>
      </c>
      <c r="I134" s="9" t="str">
        <f aca="false">IF(OR(G134="",H134=""),"",IF(F134="Uscita",-1,1)*G134*H134)</f>
        <v/>
      </c>
      <c r="J134" s="13"/>
      <c r="K134" s="13"/>
    </row>
    <row r="135" customFormat="false" ht="15" hidden="false" customHeight="false" outlineLevel="0" collapsed="false">
      <c r="A135" s="12"/>
      <c r="B135" s="13"/>
      <c r="C135" s="13"/>
      <c r="D135" s="13"/>
      <c r="E135" s="7" t="str">
        <f aca="false">IF(D135="","",IFERROR(INDEX(Materiali!$B:$B,MATCH(D135,Materiali!$A:$A,0)),"codice?"))</f>
        <v/>
      </c>
      <c r="F135" s="13"/>
      <c r="G135" s="13"/>
      <c r="H135" s="9" t="str">
        <f aca="false">IF(D135="","",IFERROR(INDEX(Materiali!$C:$C,MATCH(D135,Materiali!$A:$A,0)),0))</f>
        <v/>
      </c>
      <c r="I135" s="9" t="str">
        <f aca="false">IF(OR(G135="",H135=""),"",IF(F135="Uscita",-1,1)*G135*H135)</f>
        <v/>
      </c>
      <c r="J135" s="13"/>
      <c r="K135" s="13"/>
    </row>
    <row r="136" customFormat="false" ht="15" hidden="false" customHeight="false" outlineLevel="0" collapsed="false">
      <c r="A136" s="12"/>
      <c r="B136" s="13"/>
      <c r="C136" s="13"/>
      <c r="D136" s="13"/>
      <c r="E136" s="7" t="str">
        <f aca="false">IF(D136="","",IFERROR(INDEX(Materiali!$B:$B,MATCH(D136,Materiali!$A:$A,0)),"codice?"))</f>
        <v/>
      </c>
      <c r="F136" s="13"/>
      <c r="G136" s="13"/>
      <c r="H136" s="9" t="str">
        <f aca="false">IF(D136="","",IFERROR(INDEX(Materiali!$C:$C,MATCH(D136,Materiali!$A:$A,0)),0))</f>
        <v/>
      </c>
      <c r="I136" s="9" t="str">
        <f aca="false">IF(OR(G136="",H136=""),"",IF(F136="Uscita",-1,1)*G136*H136)</f>
        <v/>
      </c>
      <c r="J136" s="13"/>
      <c r="K136" s="13"/>
    </row>
    <row r="137" customFormat="false" ht="15" hidden="false" customHeight="false" outlineLevel="0" collapsed="false">
      <c r="A137" s="12"/>
      <c r="B137" s="13"/>
      <c r="C137" s="13"/>
      <c r="D137" s="13"/>
      <c r="E137" s="7" t="str">
        <f aca="false">IF(D137="","",IFERROR(INDEX(Materiali!$B:$B,MATCH(D137,Materiali!$A:$A,0)),"codice?"))</f>
        <v/>
      </c>
      <c r="F137" s="13"/>
      <c r="G137" s="13"/>
      <c r="H137" s="9" t="str">
        <f aca="false">IF(D137="","",IFERROR(INDEX(Materiali!$C:$C,MATCH(D137,Materiali!$A:$A,0)),0))</f>
        <v/>
      </c>
      <c r="I137" s="9" t="str">
        <f aca="false">IF(OR(G137="",H137=""),"",IF(F137="Uscita",-1,1)*G137*H137)</f>
        <v/>
      </c>
      <c r="J137" s="13"/>
      <c r="K137" s="13"/>
    </row>
    <row r="138" customFormat="false" ht="15" hidden="false" customHeight="false" outlineLevel="0" collapsed="false">
      <c r="A138" s="12"/>
      <c r="B138" s="13"/>
      <c r="C138" s="13"/>
      <c r="D138" s="13"/>
      <c r="E138" s="7" t="str">
        <f aca="false">IF(D138="","",IFERROR(INDEX(Materiali!$B:$B,MATCH(D138,Materiali!$A:$A,0)),"codice?"))</f>
        <v/>
      </c>
      <c r="F138" s="13"/>
      <c r="G138" s="13"/>
      <c r="H138" s="9" t="str">
        <f aca="false">IF(D138="","",IFERROR(INDEX(Materiali!$C:$C,MATCH(D138,Materiali!$A:$A,0)),0))</f>
        <v/>
      </c>
      <c r="I138" s="9" t="str">
        <f aca="false">IF(OR(G138="",H138=""),"",IF(F138="Uscita",-1,1)*G138*H138)</f>
        <v/>
      </c>
      <c r="J138" s="13"/>
      <c r="K138" s="13"/>
    </row>
    <row r="139" customFormat="false" ht="15" hidden="false" customHeight="false" outlineLevel="0" collapsed="false">
      <c r="A139" s="12"/>
      <c r="B139" s="13"/>
      <c r="C139" s="13"/>
      <c r="D139" s="13"/>
      <c r="E139" s="7" t="str">
        <f aca="false">IF(D139="","",IFERROR(INDEX(Materiali!$B:$B,MATCH(D139,Materiali!$A:$A,0)),"codice?"))</f>
        <v/>
      </c>
      <c r="F139" s="13"/>
      <c r="G139" s="13"/>
      <c r="H139" s="9" t="str">
        <f aca="false">IF(D139="","",IFERROR(INDEX(Materiali!$C:$C,MATCH(D139,Materiali!$A:$A,0)),0))</f>
        <v/>
      </c>
      <c r="I139" s="9" t="str">
        <f aca="false">IF(OR(G139="",H139=""),"",IF(F139="Uscita",-1,1)*G139*H139)</f>
        <v/>
      </c>
      <c r="J139" s="13"/>
      <c r="K139" s="13"/>
    </row>
    <row r="140" customFormat="false" ht="15" hidden="false" customHeight="false" outlineLevel="0" collapsed="false">
      <c r="A140" s="12"/>
      <c r="B140" s="13"/>
      <c r="C140" s="13"/>
      <c r="D140" s="13"/>
      <c r="E140" s="7" t="str">
        <f aca="false">IF(D140="","",IFERROR(INDEX(Materiali!$B:$B,MATCH(D140,Materiali!$A:$A,0)),"codice?"))</f>
        <v/>
      </c>
      <c r="F140" s="13"/>
      <c r="G140" s="13"/>
      <c r="H140" s="9" t="str">
        <f aca="false">IF(D140="","",IFERROR(INDEX(Materiali!$C:$C,MATCH(D140,Materiali!$A:$A,0)),0))</f>
        <v/>
      </c>
      <c r="I140" s="9" t="str">
        <f aca="false">IF(OR(G140="",H140=""),"",IF(F140="Uscita",-1,1)*G140*H140)</f>
        <v/>
      </c>
      <c r="J140" s="13"/>
      <c r="K140" s="13"/>
    </row>
    <row r="141" customFormat="false" ht="15" hidden="false" customHeight="false" outlineLevel="0" collapsed="false">
      <c r="A141" s="12"/>
      <c r="B141" s="13"/>
      <c r="C141" s="13"/>
      <c r="D141" s="13"/>
      <c r="E141" s="7" t="str">
        <f aca="false">IF(D141="","",IFERROR(INDEX(Materiali!$B:$B,MATCH(D141,Materiali!$A:$A,0)),"codice?"))</f>
        <v/>
      </c>
      <c r="F141" s="13"/>
      <c r="G141" s="13"/>
      <c r="H141" s="9" t="str">
        <f aca="false">IF(D141="","",IFERROR(INDEX(Materiali!$C:$C,MATCH(D141,Materiali!$A:$A,0)),0))</f>
        <v/>
      </c>
      <c r="I141" s="9" t="str">
        <f aca="false">IF(OR(G141="",H141=""),"",IF(F141="Uscita",-1,1)*G141*H141)</f>
        <v/>
      </c>
      <c r="J141" s="13"/>
      <c r="K141" s="13"/>
    </row>
    <row r="142" customFormat="false" ht="15" hidden="false" customHeight="false" outlineLevel="0" collapsed="false">
      <c r="A142" s="12"/>
      <c r="B142" s="13"/>
      <c r="C142" s="13"/>
      <c r="D142" s="13"/>
      <c r="E142" s="7" t="str">
        <f aca="false">IF(D142="","",IFERROR(INDEX(Materiali!$B:$B,MATCH(D142,Materiali!$A:$A,0)),"codice?"))</f>
        <v/>
      </c>
      <c r="F142" s="13"/>
      <c r="G142" s="13"/>
      <c r="H142" s="9" t="str">
        <f aca="false">IF(D142="","",IFERROR(INDEX(Materiali!$C:$C,MATCH(D142,Materiali!$A:$A,0)),0))</f>
        <v/>
      </c>
      <c r="I142" s="9" t="str">
        <f aca="false">IF(OR(G142="",H142=""),"",IF(F142="Uscita",-1,1)*G142*H142)</f>
        <v/>
      </c>
      <c r="J142" s="13"/>
      <c r="K142" s="13"/>
    </row>
    <row r="143" customFormat="false" ht="15" hidden="false" customHeight="false" outlineLevel="0" collapsed="false">
      <c r="A143" s="12"/>
      <c r="B143" s="13"/>
      <c r="C143" s="13"/>
      <c r="D143" s="13"/>
      <c r="E143" s="7" t="str">
        <f aca="false">IF(D143="","",IFERROR(INDEX(Materiali!$B:$B,MATCH(D143,Materiali!$A:$A,0)),"codice?"))</f>
        <v/>
      </c>
      <c r="F143" s="13"/>
      <c r="G143" s="13"/>
      <c r="H143" s="9" t="str">
        <f aca="false">IF(D143="","",IFERROR(INDEX(Materiali!$C:$C,MATCH(D143,Materiali!$A:$A,0)),0))</f>
        <v/>
      </c>
      <c r="I143" s="9" t="str">
        <f aca="false">IF(OR(G143="",H143=""),"",IF(F143="Uscita",-1,1)*G143*H143)</f>
        <v/>
      </c>
      <c r="J143" s="13"/>
      <c r="K143" s="13"/>
    </row>
    <row r="144" customFormat="false" ht="15" hidden="false" customHeight="false" outlineLevel="0" collapsed="false">
      <c r="A144" s="12"/>
      <c r="B144" s="13"/>
      <c r="C144" s="13"/>
      <c r="D144" s="13"/>
      <c r="E144" s="7" t="str">
        <f aca="false">IF(D144="","",IFERROR(INDEX(Materiali!$B:$B,MATCH(D144,Materiali!$A:$A,0)),"codice?"))</f>
        <v/>
      </c>
      <c r="F144" s="13"/>
      <c r="G144" s="13"/>
      <c r="H144" s="9" t="str">
        <f aca="false">IF(D144="","",IFERROR(INDEX(Materiali!$C:$C,MATCH(D144,Materiali!$A:$A,0)),0))</f>
        <v/>
      </c>
      <c r="I144" s="9" t="str">
        <f aca="false">IF(OR(G144="",H144=""),"",IF(F144="Uscita",-1,1)*G144*H144)</f>
        <v/>
      </c>
      <c r="J144" s="13"/>
      <c r="K144" s="13"/>
    </row>
    <row r="145" customFormat="false" ht="15" hidden="false" customHeight="false" outlineLevel="0" collapsed="false">
      <c r="A145" s="12"/>
      <c r="B145" s="13"/>
      <c r="C145" s="13"/>
      <c r="D145" s="13"/>
      <c r="E145" s="7" t="str">
        <f aca="false">IF(D145="","",IFERROR(INDEX(Materiali!$B:$B,MATCH(D145,Materiali!$A:$A,0)),"codice?"))</f>
        <v/>
      </c>
      <c r="F145" s="13"/>
      <c r="G145" s="13"/>
      <c r="H145" s="9" t="str">
        <f aca="false">IF(D145="","",IFERROR(INDEX(Materiali!$C:$C,MATCH(D145,Materiali!$A:$A,0)),0))</f>
        <v/>
      </c>
      <c r="I145" s="9" t="str">
        <f aca="false">IF(OR(G145="",H145=""),"",IF(F145="Uscita",-1,1)*G145*H145)</f>
        <v/>
      </c>
      <c r="J145" s="13"/>
      <c r="K145" s="13"/>
    </row>
    <row r="146" customFormat="false" ht="15" hidden="false" customHeight="false" outlineLevel="0" collapsed="false">
      <c r="A146" s="12"/>
      <c r="B146" s="13"/>
      <c r="C146" s="13"/>
      <c r="D146" s="13"/>
      <c r="E146" s="7" t="str">
        <f aca="false">IF(D146="","",IFERROR(INDEX(Materiali!$B:$B,MATCH(D146,Materiali!$A:$A,0)),"codice?"))</f>
        <v/>
      </c>
      <c r="F146" s="13"/>
      <c r="G146" s="13"/>
      <c r="H146" s="9" t="str">
        <f aca="false">IF(D146="","",IFERROR(INDEX(Materiali!$C:$C,MATCH(D146,Materiali!$A:$A,0)),0))</f>
        <v/>
      </c>
      <c r="I146" s="9" t="str">
        <f aca="false">IF(OR(G146="",H146=""),"",IF(F146="Uscita",-1,1)*G146*H146)</f>
        <v/>
      </c>
      <c r="J146" s="13"/>
      <c r="K146" s="13"/>
    </row>
    <row r="147" customFormat="false" ht="15" hidden="false" customHeight="false" outlineLevel="0" collapsed="false">
      <c r="A147" s="12"/>
      <c r="B147" s="13"/>
      <c r="C147" s="13"/>
      <c r="D147" s="13"/>
      <c r="E147" s="7" t="str">
        <f aca="false">IF(D147="","",IFERROR(INDEX(Materiali!$B:$B,MATCH(D147,Materiali!$A:$A,0)),"codice?"))</f>
        <v/>
      </c>
      <c r="F147" s="13"/>
      <c r="G147" s="13"/>
      <c r="H147" s="9" t="str">
        <f aca="false">IF(D147="","",IFERROR(INDEX(Materiali!$C:$C,MATCH(D147,Materiali!$A:$A,0)),0))</f>
        <v/>
      </c>
      <c r="I147" s="9" t="str">
        <f aca="false">IF(OR(G147="",H147=""),"",IF(F147="Uscita",-1,1)*G147*H147)</f>
        <v/>
      </c>
      <c r="J147" s="13"/>
      <c r="K147" s="13"/>
    </row>
    <row r="148" customFormat="false" ht="15" hidden="false" customHeight="false" outlineLevel="0" collapsed="false">
      <c r="A148" s="12"/>
      <c r="B148" s="13"/>
      <c r="C148" s="13"/>
      <c r="D148" s="13"/>
      <c r="E148" s="7" t="str">
        <f aca="false">IF(D148="","",IFERROR(INDEX(Materiali!$B:$B,MATCH(D148,Materiali!$A:$A,0)),"codice?"))</f>
        <v/>
      </c>
      <c r="F148" s="13"/>
      <c r="G148" s="13"/>
      <c r="H148" s="9" t="str">
        <f aca="false">IF(D148="","",IFERROR(INDEX(Materiali!$C:$C,MATCH(D148,Materiali!$A:$A,0)),0))</f>
        <v/>
      </c>
      <c r="I148" s="9" t="str">
        <f aca="false">IF(OR(G148="",H148=""),"",IF(F148="Uscita",-1,1)*G148*H148)</f>
        <v/>
      </c>
      <c r="J148" s="13"/>
      <c r="K148" s="13"/>
    </row>
    <row r="149" customFormat="false" ht="15" hidden="false" customHeight="false" outlineLevel="0" collapsed="false">
      <c r="A149" s="12"/>
      <c r="B149" s="13"/>
      <c r="C149" s="13"/>
      <c r="D149" s="13"/>
      <c r="E149" s="7" t="str">
        <f aca="false">IF(D149="","",IFERROR(INDEX(Materiali!$B:$B,MATCH(D149,Materiali!$A:$A,0)),"codice?"))</f>
        <v/>
      </c>
      <c r="F149" s="13"/>
      <c r="G149" s="13"/>
      <c r="H149" s="9" t="str">
        <f aca="false">IF(D149="","",IFERROR(INDEX(Materiali!$C:$C,MATCH(D149,Materiali!$A:$A,0)),0))</f>
        <v/>
      </c>
      <c r="I149" s="9" t="str">
        <f aca="false">IF(OR(G149="",H149=""),"",IF(F149="Uscita",-1,1)*G149*H149)</f>
        <v/>
      </c>
      <c r="J149" s="13"/>
      <c r="K149" s="13"/>
    </row>
    <row r="150" customFormat="false" ht="15" hidden="false" customHeight="false" outlineLevel="0" collapsed="false">
      <c r="A150" s="12"/>
      <c r="B150" s="13"/>
      <c r="C150" s="13"/>
      <c r="D150" s="13"/>
      <c r="E150" s="7" t="str">
        <f aca="false">IF(D150="","",IFERROR(INDEX(Materiali!$B:$B,MATCH(D150,Materiali!$A:$A,0)),"codice?"))</f>
        <v/>
      </c>
      <c r="F150" s="13"/>
      <c r="G150" s="13"/>
      <c r="H150" s="9" t="str">
        <f aca="false">IF(D150="","",IFERROR(INDEX(Materiali!$C:$C,MATCH(D150,Materiali!$A:$A,0)),0))</f>
        <v/>
      </c>
      <c r="I150" s="9" t="str">
        <f aca="false">IF(OR(G150="",H150=""),"",IF(F150="Uscita",-1,1)*G150*H150)</f>
        <v/>
      </c>
      <c r="J150" s="13"/>
      <c r="K150" s="13"/>
    </row>
    <row r="151" customFormat="false" ht="15" hidden="false" customHeight="false" outlineLevel="0" collapsed="false">
      <c r="A151" s="12"/>
      <c r="B151" s="13"/>
      <c r="C151" s="13"/>
      <c r="D151" s="13"/>
      <c r="E151" s="7" t="str">
        <f aca="false">IF(D151="","",IFERROR(INDEX(Materiali!$B:$B,MATCH(D151,Materiali!$A:$A,0)),"codice?"))</f>
        <v/>
      </c>
      <c r="F151" s="13"/>
      <c r="G151" s="13"/>
      <c r="H151" s="9" t="str">
        <f aca="false">IF(D151="","",IFERROR(INDEX(Materiali!$C:$C,MATCH(D151,Materiali!$A:$A,0)),0))</f>
        <v/>
      </c>
      <c r="I151" s="9" t="str">
        <f aca="false">IF(OR(G151="",H151=""),"",IF(F151="Uscita",-1,1)*G151*H151)</f>
        <v/>
      </c>
      <c r="J151" s="13"/>
      <c r="K151" s="13"/>
    </row>
    <row r="152" customFormat="false" ht="15" hidden="false" customHeight="false" outlineLevel="0" collapsed="false">
      <c r="A152" s="12"/>
      <c r="B152" s="13"/>
      <c r="C152" s="13"/>
      <c r="D152" s="13"/>
      <c r="E152" s="7" t="str">
        <f aca="false">IF(D152="","",IFERROR(INDEX(Materiali!$B:$B,MATCH(D152,Materiali!$A:$A,0)),"codice?"))</f>
        <v/>
      </c>
      <c r="F152" s="13"/>
      <c r="G152" s="13"/>
      <c r="H152" s="9" t="str">
        <f aca="false">IF(D152="","",IFERROR(INDEX(Materiali!$C:$C,MATCH(D152,Materiali!$A:$A,0)),0))</f>
        <v/>
      </c>
      <c r="I152" s="9" t="str">
        <f aca="false">IF(OR(G152="",H152=""),"",IF(F152="Uscita",-1,1)*G152*H152)</f>
        <v/>
      </c>
      <c r="J152" s="13"/>
      <c r="K152" s="13"/>
    </row>
    <row r="153" customFormat="false" ht="15" hidden="false" customHeight="false" outlineLevel="0" collapsed="false">
      <c r="A153" s="12"/>
      <c r="B153" s="13"/>
      <c r="C153" s="13"/>
      <c r="D153" s="13"/>
      <c r="E153" s="7" t="str">
        <f aca="false">IF(D153="","",IFERROR(INDEX(Materiali!$B:$B,MATCH(D153,Materiali!$A:$A,0)),"codice?"))</f>
        <v/>
      </c>
      <c r="F153" s="13"/>
      <c r="G153" s="13"/>
      <c r="H153" s="9" t="str">
        <f aca="false">IF(D153="","",IFERROR(INDEX(Materiali!$C:$C,MATCH(D153,Materiali!$A:$A,0)),0))</f>
        <v/>
      </c>
      <c r="I153" s="9" t="str">
        <f aca="false">IF(OR(G153="",H153=""),"",IF(F153="Uscita",-1,1)*G153*H153)</f>
        <v/>
      </c>
      <c r="J153" s="13"/>
      <c r="K153" s="13"/>
    </row>
    <row r="154" customFormat="false" ht="15" hidden="false" customHeight="false" outlineLevel="0" collapsed="false">
      <c r="A154" s="12"/>
      <c r="B154" s="13"/>
      <c r="C154" s="13"/>
      <c r="D154" s="13"/>
      <c r="E154" s="7" t="str">
        <f aca="false">IF(D154="","",IFERROR(INDEX(Materiali!$B:$B,MATCH(D154,Materiali!$A:$A,0)),"codice?"))</f>
        <v/>
      </c>
      <c r="F154" s="13"/>
      <c r="G154" s="13"/>
      <c r="H154" s="9" t="str">
        <f aca="false">IF(D154="","",IFERROR(INDEX(Materiali!$C:$C,MATCH(D154,Materiali!$A:$A,0)),0))</f>
        <v/>
      </c>
      <c r="I154" s="9" t="str">
        <f aca="false">IF(OR(G154="",H154=""),"",IF(F154="Uscita",-1,1)*G154*H154)</f>
        <v/>
      </c>
      <c r="J154" s="13"/>
      <c r="K154" s="13"/>
    </row>
    <row r="155" customFormat="false" ht="15" hidden="false" customHeight="false" outlineLevel="0" collapsed="false">
      <c r="A155" s="12"/>
      <c r="B155" s="13"/>
      <c r="C155" s="13"/>
      <c r="D155" s="13"/>
      <c r="E155" s="7" t="str">
        <f aca="false">IF(D155="","",IFERROR(INDEX(Materiali!$B:$B,MATCH(D155,Materiali!$A:$A,0)),"codice?"))</f>
        <v/>
      </c>
      <c r="F155" s="13"/>
      <c r="G155" s="13"/>
      <c r="H155" s="9" t="str">
        <f aca="false">IF(D155="","",IFERROR(INDEX(Materiali!$C:$C,MATCH(D155,Materiali!$A:$A,0)),0))</f>
        <v/>
      </c>
      <c r="I155" s="9" t="str">
        <f aca="false">IF(OR(G155="",H155=""),"",IF(F155="Uscita",-1,1)*G155*H155)</f>
        <v/>
      </c>
      <c r="J155" s="13"/>
      <c r="K155" s="13"/>
    </row>
    <row r="156" customFormat="false" ht="15" hidden="false" customHeight="false" outlineLevel="0" collapsed="false">
      <c r="A156" s="12"/>
      <c r="B156" s="13"/>
      <c r="C156" s="13"/>
      <c r="D156" s="13"/>
      <c r="E156" s="7" t="str">
        <f aca="false">IF(D156="","",IFERROR(INDEX(Materiali!$B:$B,MATCH(D156,Materiali!$A:$A,0)),"codice?"))</f>
        <v/>
      </c>
      <c r="F156" s="13"/>
      <c r="G156" s="13"/>
      <c r="H156" s="9" t="str">
        <f aca="false">IF(D156="","",IFERROR(INDEX(Materiali!$C:$C,MATCH(D156,Materiali!$A:$A,0)),0))</f>
        <v/>
      </c>
      <c r="I156" s="9" t="str">
        <f aca="false">IF(OR(G156="",H156=""),"",IF(F156="Uscita",-1,1)*G156*H156)</f>
        <v/>
      </c>
      <c r="J156" s="13"/>
      <c r="K156" s="13"/>
    </row>
    <row r="157" customFormat="false" ht="15" hidden="false" customHeight="false" outlineLevel="0" collapsed="false">
      <c r="A157" s="12"/>
      <c r="B157" s="13"/>
      <c r="C157" s="13"/>
      <c r="D157" s="13"/>
      <c r="E157" s="7" t="str">
        <f aca="false">IF(D157="","",IFERROR(INDEX(Materiali!$B:$B,MATCH(D157,Materiali!$A:$A,0)),"codice?"))</f>
        <v/>
      </c>
      <c r="F157" s="13"/>
      <c r="G157" s="13"/>
      <c r="H157" s="9" t="str">
        <f aca="false">IF(D157="","",IFERROR(INDEX(Materiali!$C:$C,MATCH(D157,Materiali!$A:$A,0)),0))</f>
        <v/>
      </c>
      <c r="I157" s="9" t="str">
        <f aca="false">IF(OR(G157="",H157=""),"",IF(F157="Uscita",-1,1)*G157*H157)</f>
        <v/>
      </c>
      <c r="J157" s="13"/>
      <c r="K157" s="13"/>
    </row>
    <row r="158" customFormat="false" ht="15" hidden="false" customHeight="false" outlineLevel="0" collapsed="false">
      <c r="A158" s="12"/>
      <c r="B158" s="13"/>
      <c r="C158" s="13"/>
      <c r="D158" s="13"/>
      <c r="E158" s="7" t="str">
        <f aca="false">IF(D158="","",IFERROR(INDEX(Materiali!$B:$B,MATCH(D158,Materiali!$A:$A,0)),"codice?"))</f>
        <v/>
      </c>
      <c r="F158" s="13"/>
      <c r="G158" s="13"/>
      <c r="H158" s="9" t="str">
        <f aca="false">IF(D158="","",IFERROR(INDEX(Materiali!$C:$C,MATCH(D158,Materiali!$A:$A,0)),0))</f>
        <v/>
      </c>
      <c r="I158" s="9" t="str">
        <f aca="false">IF(OR(G158="",H158=""),"",IF(F158="Uscita",-1,1)*G158*H158)</f>
        <v/>
      </c>
      <c r="J158" s="13"/>
      <c r="K158" s="13"/>
    </row>
    <row r="159" customFormat="false" ht="15" hidden="false" customHeight="false" outlineLevel="0" collapsed="false">
      <c r="A159" s="12"/>
      <c r="B159" s="13"/>
      <c r="C159" s="13"/>
      <c r="D159" s="13"/>
      <c r="E159" s="7" t="str">
        <f aca="false">IF(D159="","",IFERROR(INDEX(Materiali!$B:$B,MATCH(D159,Materiali!$A:$A,0)),"codice?"))</f>
        <v/>
      </c>
      <c r="F159" s="13"/>
      <c r="G159" s="13"/>
      <c r="H159" s="9" t="str">
        <f aca="false">IF(D159="","",IFERROR(INDEX(Materiali!$C:$C,MATCH(D159,Materiali!$A:$A,0)),0))</f>
        <v/>
      </c>
      <c r="I159" s="9" t="str">
        <f aca="false">IF(OR(G159="",H159=""),"",IF(F159="Uscita",-1,1)*G159*H159)</f>
        <v/>
      </c>
      <c r="J159" s="13"/>
      <c r="K159" s="13"/>
    </row>
    <row r="160" customFormat="false" ht="15" hidden="false" customHeight="false" outlineLevel="0" collapsed="false">
      <c r="A160" s="12"/>
      <c r="B160" s="13"/>
      <c r="C160" s="13"/>
      <c r="D160" s="13"/>
      <c r="E160" s="7" t="str">
        <f aca="false">IF(D160="","",IFERROR(INDEX(Materiali!$B:$B,MATCH(D160,Materiali!$A:$A,0)),"codice?"))</f>
        <v/>
      </c>
      <c r="F160" s="13"/>
      <c r="G160" s="13"/>
      <c r="H160" s="9" t="str">
        <f aca="false">IF(D160="","",IFERROR(INDEX(Materiali!$C:$C,MATCH(D160,Materiali!$A:$A,0)),0))</f>
        <v/>
      </c>
      <c r="I160" s="9" t="str">
        <f aca="false">IF(OR(G160="",H160=""),"",IF(F160="Uscita",-1,1)*G160*H160)</f>
        <v/>
      </c>
      <c r="J160" s="13"/>
      <c r="K160" s="13"/>
    </row>
    <row r="161" customFormat="false" ht="15" hidden="false" customHeight="false" outlineLevel="0" collapsed="false">
      <c r="A161" s="12"/>
      <c r="B161" s="13"/>
      <c r="C161" s="13"/>
      <c r="D161" s="13"/>
      <c r="E161" s="7" t="str">
        <f aca="false">IF(D161="","",IFERROR(INDEX(Materiali!$B:$B,MATCH(D161,Materiali!$A:$A,0)),"codice?"))</f>
        <v/>
      </c>
      <c r="F161" s="13"/>
      <c r="G161" s="13"/>
      <c r="H161" s="9" t="str">
        <f aca="false">IF(D161="","",IFERROR(INDEX(Materiali!$C:$C,MATCH(D161,Materiali!$A:$A,0)),0))</f>
        <v/>
      </c>
      <c r="I161" s="9" t="str">
        <f aca="false">IF(OR(G161="",H161=""),"",IF(F161="Uscita",-1,1)*G161*H161)</f>
        <v/>
      </c>
      <c r="J161" s="13"/>
      <c r="K161" s="13"/>
    </row>
    <row r="162" customFormat="false" ht="15" hidden="false" customHeight="false" outlineLevel="0" collapsed="false">
      <c r="A162" s="12"/>
      <c r="B162" s="13"/>
      <c r="C162" s="13"/>
      <c r="D162" s="13"/>
      <c r="E162" s="7" t="str">
        <f aca="false">IF(D162="","",IFERROR(INDEX(Materiali!$B:$B,MATCH(D162,Materiali!$A:$A,0)),"codice?"))</f>
        <v/>
      </c>
      <c r="F162" s="13"/>
      <c r="G162" s="13"/>
      <c r="H162" s="9" t="str">
        <f aca="false">IF(D162="","",IFERROR(INDEX(Materiali!$C:$C,MATCH(D162,Materiali!$A:$A,0)),0))</f>
        <v/>
      </c>
      <c r="I162" s="9" t="str">
        <f aca="false">IF(OR(G162="",H162=""),"",IF(F162="Uscita",-1,1)*G162*H162)</f>
        <v/>
      </c>
      <c r="J162" s="13"/>
      <c r="K162" s="13"/>
    </row>
    <row r="163" customFormat="false" ht="15" hidden="false" customHeight="false" outlineLevel="0" collapsed="false">
      <c r="A163" s="12"/>
      <c r="B163" s="13"/>
      <c r="C163" s="13"/>
      <c r="D163" s="13"/>
      <c r="E163" s="7" t="str">
        <f aca="false">IF(D163="","",IFERROR(INDEX(Materiali!$B:$B,MATCH(D163,Materiali!$A:$A,0)),"codice?"))</f>
        <v/>
      </c>
      <c r="F163" s="13"/>
      <c r="G163" s="13"/>
      <c r="H163" s="9" t="str">
        <f aca="false">IF(D163="","",IFERROR(INDEX(Materiali!$C:$C,MATCH(D163,Materiali!$A:$A,0)),0))</f>
        <v/>
      </c>
      <c r="I163" s="9" t="str">
        <f aca="false">IF(OR(G163="",H163=""),"",IF(F163="Uscita",-1,1)*G163*H163)</f>
        <v/>
      </c>
      <c r="J163" s="13"/>
      <c r="K163" s="13"/>
    </row>
    <row r="164" customFormat="false" ht="15" hidden="false" customHeight="false" outlineLevel="0" collapsed="false">
      <c r="A164" s="12"/>
      <c r="B164" s="13"/>
      <c r="C164" s="13"/>
      <c r="D164" s="13"/>
      <c r="E164" s="7" t="str">
        <f aca="false">IF(D164="","",IFERROR(INDEX(Materiali!$B:$B,MATCH(D164,Materiali!$A:$A,0)),"codice?"))</f>
        <v/>
      </c>
      <c r="F164" s="13"/>
      <c r="G164" s="13"/>
      <c r="H164" s="9" t="str">
        <f aca="false">IF(D164="","",IFERROR(INDEX(Materiali!$C:$C,MATCH(D164,Materiali!$A:$A,0)),0))</f>
        <v/>
      </c>
      <c r="I164" s="9" t="str">
        <f aca="false">IF(OR(G164="",H164=""),"",IF(F164="Uscita",-1,1)*G164*H164)</f>
        <v/>
      </c>
      <c r="J164" s="13"/>
      <c r="K164" s="13"/>
    </row>
    <row r="165" customFormat="false" ht="15" hidden="false" customHeight="false" outlineLevel="0" collapsed="false">
      <c r="A165" s="12"/>
      <c r="B165" s="13"/>
      <c r="C165" s="13"/>
      <c r="D165" s="13"/>
      <c r="E165" s="7" t="str">
        <f aca="false">IF(D165="","",IFERROR(INDEX(Materiali!$B:$B,MATCH(D165,Materiali!$A:$A,0)),"codice?"))</f>
        <v/>
      </c>
      <c r="F165" s="13"/>
      <c r="G165" s="13"/>
      <c r="H165" s="9" t="str">
        <f aca="false">IF(D165="","",IFERROR(INDEX(Materiali!$C:$C,MATCH(D165,Materiali!$A:$A,0)),0))</f>
        <v/>
      </c>
      <c r="I165" s="9" t="str">
        <f aca="false">IF(OR(G165="",H165=""),"",IF(F165="Uscita",-1,1)*G165*H165)</f>
        <v/>
      </c>
      <c r="J165" s="13"/>
      <c r="K165" s="13"/>
    </row>
    <row r="166" customFormat="false" ht="15" hidden="false" customHeight="false" outlineLevel="0" collapsed="false">
      <c r="A166" s="12"/>
      <c r="B166" s="13"/>
      <c r="C166" s="13"/>
      <c r="D166" s="13"/>
      <c r="E166" s="7" t="str">
        <f aca="false">IF(D166="","",IFERROR(INDEX(Materiali!$B:$B,MATCH(D166,Materiali!$A:$A,0)),"codice?"))</f>
        <v/>
      </c>
      <c r="F166" s="13"/>
      <c r="G166" s="13"/>
      <c r="H166" s="9" t="str">
        <f aca="false">IF(D166="","",IFERROR(INDEX(Materiali!$C:$C,MATCH(D166,Materiali!$A:$A,0)),0))</f>
        <v/>
      </c>
      <c r="I166" s="9" t="str">
        <f aca="false">IF(OR(G166="",H166=""),"",IF(F166="Uscita",-1,1)*G166*H166)</f>
        <v/>
      </c>
      <c r="J166" s="13"/>
      <c r="K166" s="13"/>
    </row>
    <row r="167" customFormat="false" ht="15" hidden="false" customHeight="false" outlineLevel="0" collapsed="false">
      <c r="A167" s="12"/>
      <c r="B167" s="13"/>
      <c r="C167" s="13"/>
      <c r="D167" s="13"/>
      <c r="E167" s="7" t="str">
        <f aca="false">IF(D167="","",IFERROR(INDEX(Materiali!$B:$B,MATCH(D167,Materiali!$A:$A,0)),"codice?"))</f>
        <v/>
      </c>
      <c r="F167" s="13"/>
      <c r="G167" s="13"/>
      <c r="H167" s="9" t="str">
        <f aca="false">IF(D167="","",IFERROR(INDEX(Materiali!$C:$C,MATCH(D167,Materiali!$A:$A,0)),0))</f>
        <v/>
      </c>
      <c r="I167" s="9" t="str">
        <f aca="false">IF(OR(G167="",H167=""),"",IF(F167="Uscita",-1,1)*G167*H167)</f>
        <v/>
      </c>
      <c r="J167" s="13"/>
      <c r="K167" s="13"/>
    </row>
    <row r="168" customFormat="false" ht="15" hidden="false" customHeight="false" outlineLevel="0" collapsed="false">
      <c r="A168" s="12"/>
      <c r="B168" s="13"/>
      <c r="C168" s="13"/>
      <c r="D168" s="13"/>
      <c r="E168" s="7" t="str">
        <f aca="false">IF(D168="","",IFERROR(INDEX(Materiali!$B:$B,MATCH(D168,Materiali!$A:$A,0)),"codice?"))</f>
        <v/>
      </c>
      <c r="F168" s="13"/>
      <c r="G168" s="13"/>
      <c r="H168" s="9" t="str">
        <f aca="false">IF(D168="","",IFERROR(INDEX(Materiali!$C:$C,MATCH(D168,Materiali!$A:$A,0)),0))</f>
        <v/>
      </c>
      <c r="I168" s="9" t="str">
        <f aca="false">IF(OR(G168="",H168=""),"",IF(F168="Uscita",-1,1)*G168*H168)</f>
        <v/>
      </c>
      <c r="J168" s="13"/>
      <c r="K168" s="13"/>
    </row>
    <row r="169" customFormat="false" ht="15" hidden="false" customHeight="false" outlineLevel="0" collapsed="false">
      <c r="A169" s="12"/>
      <c r="B169" s="13"/>
      <c r="C169" s="13"/>
      <c r="D169" s="13"/>
      <c r="E169" s="7" t="str">
        <f aca="false">IF(D169="","",IFERROR(INDEX(Materiali!$B:$B,MATCH(D169,Materiali!$A:$A,0)),"codice?"))</f>
        <v/>
      </c>
      <c r="F169" s="13"/>
      <c r="G169" s="13"/>
      <c r="H169" s="9" t="str">
        <f aca="false">IF(D169="","",IFERROR(INDEX(Materiali!$C:$C,MATCH(D169,Materiali!$A:$A,0)),0))</f>
        <v/>
      </c>
      <c r="I169" s="9" t="str">
        <f aca="false">IF(OR(G169="",H169=""),"",IF(F169="Uscita",-1,1)*G169*H169)</f>
        <v/>
      </c>
      <c r="J169" s="13"/>
      <c r="K169" s="13"/>
    </row>
    <row r="170" customFormat="false" ht="15" hidden="false" customHeight="false" outlineLevel="0" collapsed="false">
      <c r="A170" s="12"/>
      <c r="B170" s="13"/>
      <c r="C170" s="13"/>
      <c r="D170" s="13"/>
      <c r="E170" s="7" t="str">
        <f aca="false">IF(D170="","",IFERROR(INDEX(Materiali!$B:$B,MATCH(D170,Materiali!$A:$A,0)),"codice?"))</f>
        <v/>
      </c>
      <c r="F170" s="13"/>
      <c r="G170" s="13"/>
      <c r="H170" s="9" t="str">
        <f aca="false">IF(D170="","",IFERROR(INDEX(Materiali!$C:$C,MATCH(D170,Materiali!$A:$A,0)),0))</f>
        <v/>
      </c>
      <c r="I170" s="9" t="str">
        <f aca="false">IF(OR(G170="",H170=""),"",IF(F170="Uscita",-1,1)*G170*H170)</f>
        <v/>
      </c>
      <c r="J170" s="13"/>
      <c r="K170" s="13"/>
    </row>
    <row r="171" customFormat="false" ht="15" hidden="false" customHeight="false" outlineLevel="0" collapsed="false">
      <c r="A171" s="12"/>
      <c r="B171" s="13"/>
      <c r="C171" s="13"/>
      <c r="D171" s="13"/>
      <c r="E171" s="7" t="str">
        <f aca="false">IF(D171="","",IFERROR(INDEX(Materiali!$B:$B,MATCH(D171,Materiali!$A:$A,0)),"codice?"))</f>
        <v/>
      </c>
      <c r="F171" s="13"/>
      <c r="G171" s="13"/>
      <c r="H171" s="9" t="str">
        <f aca="false">IF(D171="","",IFERROR(INDEX(Materiali!$C:$C,MATCH(D171,Materiali!$A:$A,0)),0))</f>
        <v/>
      </c>
      <c r="I171" s="9" t="str">
        <f aca="false">IF(OR(G171="",H171=""),"",IF(F171="Uscita",-1,1)*G171*H171)</f>
        <v/>
      </c>
      <c r="J171" s="13"/>
      <c r="K171" s="13"/>
    </row>
    <row r="172" customFormat="false" ht="15" hidden="false" customHeight="false" outlineLevel="0" collapsed="false">
      <c r="A172" s="12"/>
      <c r="B172" s="13"/>
      <c r="C172" s="13"/>
      <c r="D172" s="13"/>
      <c r="E172" s="7" t="str">
        <f aca="false">IF(D172="","",IFERROR(INDEX(Materiali!$B:$B,MATCH(D172,Materiali!$A:$A,0)),"codice?"))</f>
        <v/>
      </c>
      <c r="F172" s="13"/>
      <c r="G172" s="13"/>
      <c r="H172" s="9" t="str">
        <f aca="false">IF(D172="","",IFERROR(INDEX(Materiali!$C:$C,MATCH(D172,Materiali!$A:$A,0)),0))</f>
        <v/>
      </c>
      <c r="I172" s="9" t="str">
        <f aca="false">IF(OR(G172="",H172=""),"",IF(F172="Uscita",-1,1)*G172*H172)</f>
        <v/>
      </c>
      <c r="J172" s="13"/>
      <c r="K172" s="13"/>
    </row>
    <row r="173" customFormat="false" ht="15" hidden="false" customHeight="false" outlineLevel="0" collapsed="false">
      <c r="A173" s="12"/>
      <c r="B173" s="13"/>
      <c r="C173" s="13"/>
      <c r="D173" s="13"/>
      <c r="E173" s="7" t="str">
        <f aca="false">IF(D173="","",IFERROR(INDEX(Materiali!$B:$B,MATCH(D173,Materiali!$A:$A,0)),"codice?"))</f>
        <v/>
      </c>
      <c r="F173" s="13"/>
      <c r="G173" s="13"/>
      <c r="H173" s="9" t="str">
        <f aca="false">IF(D173="","",IFERROR(INDEX(Materiali!$C:$C,MATCH(D173,Materiali!$A:$A,0)),0))</f>
        <v/>
      </c>
      <c r="I173" s="9" t="str">
        <f aca="false">IF(OR(G173="",H173=""),"",IF(F173="Uscita",-1,1)*G173*H173)</f>
        <v/>
      </c>
      <c r="J173" s="13"/>
      <c r="K173" s="13"/>
    </row>
    <row r="174" customFormat="false" ht="15" hidden="false" customHeight="false" outlineLevel="0" collapsed="false">
      <c r="A174" s="12"/>
      <c r="B174" s="13"/>
      <c r="C174" s="13"/>
      <c r="D174" s="13"/>
      <c r="E174" s="7" t="str">
        <f aca="false">IF(D174="","",IFERROR(INDEX(Materiali!$B:$B,MATCH(D174,Materiali!$A:$A,0)),"codice?"))</f>
        <v/>
      </c>
      <c r="F174" s="13"/>
      <c r="G174" s="13"/>
      <c r="H174" s="9" t="str">
        <f aca="false">IF(D174="","",IFERROR(INDEX(Materiali!$C:$C,MATCH(D174,Materiali!$A:$A,0)),0))</f>
        <v/>
      </c>
      <c r="I174" s="9" t="str">
        <f aca="false">IF(OR(G174="",H174=""),"",IF(F174="Uscita",-1,1)*G174*H174)</f>
        <v/>
      </c>
      <c r="J174" s="13"/>
      <c r="K174" s="13"/>
    </row>
    <row r="175" customFormat="false" ht="15" hidden="false" customHeight="false" outlineLevel="0" collapsed="false">
      <c r="A175" s="12"/>
      <c r="B175" s="13"/>
      <c r="C175" s="13"/>
      <c r="D175" s="13"/>
      <c r="E175" s="7" t="str">
        <f aca="false">IF(D175="","",IFERROR(INDEX(Materiali!$B:$B,MATCH(D175,Materiali!$A:$A,0)),"codice?"))</f>
        <v/>
      </c>
      <c r="F175" s="13"/>
      <c r="G175" s="13"/>
      <c r="H175" s="9" t="str">
        <f aca="false">IF(D175="","",IFERROR(INDEX(Materiali!$C:$C,MATCH(D175,Materiali!$A:$A,0)),0))</f>
        <v/>
      </c>
      <c r="I175" s="9" t="str">
        <f aca="false">IF(OR(G175="",H175=""),"",IF(F175="Uscita",-1,1)*G175*H175)</f>
        <v/>
      </c>
      <c r="J175" s="13"/>
      <c r="K175" s="13"/>
    </row>
    <row r="176" customFormat="false" ht="15" hidden="false" customHeight="false" outlineLevel="0" collapsed="false">
      <c r="A176" s="12"/>
      <c r="B176" s="13"/>
      <c r="C176" s="13"/>
      <c r="D176" s="13"/>
      <c r="E176" s="7" t="str">
        <f aca="false">IF(D176="","",IFERROR(INDEX(Materiali!$B:$B,MATCH(D176,Materiali!$A:$A,0)),"codice?"))</f>
        <v/>
      </c>
      <c r="F176" s="13"/>
      <c r="G176" s="13"/>
      <c r="H176" s="9" t="str">
        <f aca="false">IF(D176="","",IFERROR(INDEX(Materiali!$C:$C,MATCH(D176,Materiali!$A:$A,0)),0))</f>
        <v/>
      </c>
      <c r="I176" s="9" t="str">
        <f aca="false">IF(OR(G176="",H176=""),"",IF(F176="Uscita",-1,1)*G176*H176)</f>
        <v/>
      </c>
      <c r="J176" s="13"/>
      <c r="K176" s="13"/>
    </row>
    <row r="177" customFormat="false" ht="15" hidden="false" customHeight="false" outlineLevel="0" collapsed="false">
      <c r="A177" s="12"/>
      <c r="B177" s="13"/>
      <c r="C177" s="13"/>
      <c r="D177" s="13"/>
      <c r="E177" s="7" t="str">
        <f aca="false">IF(D177="","",IFERROR(INDEX(Materiali!$B:$B,MATCH(D177,Materiali!$A:$A,0)),"codice?"))</f>
        <v/>
      </c>
      <c r="F177" s="13"/>
      <c r="G177" s="13"/>
      <c r="H177" s="9" t="str">
        <f aca="false">IF(D177="","",IFERROR(INDEX(Materiali!$C:$C,MATCH(D177,Materiali!$A:$A,0)),0))</f>
        <v/>
      </c>
      <c r="I177" s="9" t="str">
        <f aca="false">IF(OR(G177="",H177=""),"",IF(F177="Uscita",-1,1)*G177*H177)</f>
        <v/>
      </c>
      <c r="J177" s="13"/>
      <c r="K177" s="13"/>
    </row>
    <row r="178" customFormat="false" ht="15" hidden="false" customHeight="false" outlineLevel="0" collapsed="false">
      <c r="A178" s="12"/>
      <c r="B178" s="13"/>
      <c r="C178" s="13"/>
      <c r="D178" s="13"/>
      <c r="E178" s="7" t="str">
        <f aca="false">IF(D178="","",IFERROR(INDEX(Materiali!$B:$B,MATCH(D178,Materiali!$A:$A,0)),"codice?"))</f>
        <v/>
      </c>
      <c r="F178" s="13"/>
      <c r="G178" s="13"/>
      <c r="H178" s="9" t="str">
        <f aca="false">IF(D178="","",IFERROR(INDEX(Materiali!$C:$C,MATCH(D178,Materiali!$A:$A,0)),0))</f>
        <v/>
      </c>
      <c r="I178" s="9" t="str">
        <f aca="false">IF(OR(G178="",H178=""),"",IF(F178="Uscita",-1,1)*G178*H178)</f>
        <v/>
      </c>
      <c r="J178" s="13"/>
      <c r="K178" s="13"/>
    </row>
    <row r="179" customFormat="false" ht="15" hidden="false" customHeight="false" outlineLevel="0" collapsed="false">
      <c r="A179" s="12"/>
      <c r="B179" s="13"/>
      <c r="C179" s="13"/>
      <c r="D179" s="13"/>
      <c r="E179" s="7" t="str">
        <f aca="false">IF(D179="","",IFERROR(INDEX(Materiali!$B:$B,MATCH(D179,Materiali!$A:$A,0)),"codice?"))</f>
        <v/>
      </c>
      <c r="F179" s="13"/>
      <c r="G179" s="13"/>
      <c r="H179" s="9" t="str">
        <f aca="false">IF(D179="","",IFERROR(INDEX(Materiali!$C:$C,MATCH(D179,Materiali!$A:$A,0)),0))</f>
        <v/>
      </c>
      <c r="I179" s="9" t="str">
        <f aca="false">IF(OR(G179="",H179=""),"",IF(F179="Uscita",-1,1)*G179*H179)</f>
        <v/>
      </c>
      <c r="J179" s="13"/>
      <c r="K179" s="13"/>
    </row>
    <row r="180" customFormat="false" ht="15" hidden="false" customHeight="false" outlineLevel="0" collapsed="false">
      <c r="A180" s="12"/>
      <c r="B180" s="13"/>
      <c r="C180" s="13"/>
      <c r="D180" s="13"/>
      <c r="E180" s="7" t="str">
        <f aca="false">IF(D180="","",IFERROR(INDEX(Materiali!$B:$B,MATCH(D180,Materiali!$A:$A,0)),"codice?"))</f>
        <v/>
      </c>
      <c r="F180" s="13"/>
      <c r="G180" s="13"/>
      <c r="H180" s="9" t="str">
        <f aca="false">IF(D180="","",IFERROR(INDEX(Materiali!$C:$C,MATCH(D180,Materiali!$A:$A,0)),0))</f>
        <v/>
      </c>
      <c r="I180" s="9" t="str">
        <f aca="false">IF(OR(G180="",H180=""),"",IF(F180="Uscita",-1,1)*G180*H180)</f>
        <v/>
      </c>
      <c r="J180" s="13"/>
      <c r="K180" s="13"/>
    </row>
    <row r="181" customFormat="false" ht="15" hidden="false" customHeight="false" outlineLevel="0" collapsed="false">
      <c r="A181" s="12"/>
      <c r="B181" s="13"/>
      <c r="C181" s="13"/>
      <c r="D181" s="13"/>
      <c r="E181" s="7" t="str">
        <f aca="false">IF(D181="","",IFERROR(INDEX(Materiali!$B:$B,MATCH(D181,Materiali!$A:$A,0)),"codice?"))</f>
        <v/>
      </c>
      <c r="F181" s="13"/>
      <c r="G181" s="13"/>
      <c r="H181" s="9" t="str">
        <f aca="false">IF(D181="","",IFERROR(INDEX(Materiali!$C:$C,MATCH(D181,Materiali!$A:$A,0)),0))</f>
        <v/>
      </c>
      <c r="I181" s="9" t="str">
        <f aca="false">IF(OR(G181="",H181=""),"",IF(F181="Uscita",-1,1)*G181*H181)</f>
        <v/>
      </c>
      <c r="J181" s="13"/>
      <c r="K181" s="13"/>
    </row>
    <row r="182" customFormat="false" ht="15" hidden="false" customHeight="false" outlineLevel="0" collapsed="false">
      <c r="A182" s="12"/>
      <c r="B182" s="13"/>
      <c r="C182" s="13"/>
      <c r="D182" s="13"/>
      <c r="E182" s="7" t="str">
        <f aca="false">IF(D182="","",IFERROR(INDEX(Materiali!$B:$B,MATCH(D182,Materiali!$A:$A,0)),"codice?"))</f>
        <v/>
      </c>
      <c r="F182" s="13"/>
      <c r="G182" s="13"/>
      <c r="H182" s="9" t="str">
        <f aca="false">IF(D182="","",IFERROR(INDEX(Materiali!$C:$C,MATCH(D182,Materiali!$A:$A,0)),0))</f>
        <v/>
      </c>
      <c r="I182" s="9" t="str">
        <f aca="false">IF(OR(G182="",H182=""),"",IF(F182="Uscita",-1,1)*G182*H182)</f>
        <v/>
      </c>
      <c r="J182" s="13"/>
      <c r="K182" s="13"/>
    </row>
    <row r="183" customFormat="false" ht="15" hidden="false" customHeight="false" outlineLevel="0" collapsed="false">
      <c r="A183" s="12"/>
      <c r="B183" s="13"/>
      <c r="C183" s="13"/>
      <c r="D183" s="13"/>
      <c r="E183" s="7" t="str">
        <f aca="false">IF(D183="","",IFERROR(INDEX(Materiali!$B:$B,MATCH(D183,Materiali!$A:$A,0)),"codice?"))</f>
        <v/>
      </c>
      <c r="F183" s="13"/>
      <c r="G183" s="13"/>
      <c r="H183" s="9" t="str">
        <f aca="false">IF(D183="","",IFERROR(INDEX(Materiali!$C:$C,MATCH(D183,Materiali!$A:$A,0)),0))</f>
        <v/>
      </c>
      <c r="I183" s="9" t="str">
        <f aca="false">IF(OR(G183="",H183=""),"",IF(F183="Uscita",-1,1)*G183*H183)</f>
        <v/>
      </c>
      <c r="J183" s="13"/>
      <c r="K183" s="13"/>
    </row>
    <row r="184" customFormat="false" ht="15" hidden="false" customHeight="false" outlineLevel="0" collapsed="false">
      <c r="A184" s="12"/>
      <c r="B184" s="13"/>
      <c r="C184" s="13"/>
      <c r="D184" s="13"/>
      <c r="E184" s="7" t="str">
        <f aca="false">IF(D184="","",IFERROR(INDEX(Materiali!$B:$B,MATCH(D184,Materiali!$A:$A,0)),"codice?"))</f>
        <v/>
      </c>
      <c r="F184" s="13"/>
      <c r="G184" s="13"/>
      <c r="H184" s="9" t="str">
        <f aca="false">IF(D184="","",IFERROR(INDEX(Materiali!$C:$C,MATCH(D184,Materiali!$A:$A,0)),0))</f>
        <v/>
      </c>
      <c r="I184" s="9" t="str">
        <f aca="false">IF(OR(G184="",H184=""),"",IF(F184="Uscita",-1,1)*G184*H184)</f>
        <v/>
      </c>
      <c r="J184" s="13"/>
      <c r="K184" s="13"/>
    </row>
    <row r="185" customFormat="false" ht="15" hidden="false" customHeight="false" outlineLevel="0" collapsed="false">
      <c r="A185" s="12"/>
      <c r="B185" s="13"/>
      <c r="C185" s="13"/>
      <c r="D185" s="13"/>
      <c r="E185" s="7" t="str">
        <f aca="false">IF(D185="","",IFERROR(INDEX(Materiali!$B:$B,MATCH(D185,Materiali!$A:$A,0)),"codice?"))</f>
        <v/>
      </c>
      <c r="F185" s="13"/>
      <c r="G185" s="13"/>
      <c r="H185" s="9" t="str">
        <f aca="false">IF(D185="","",IFERROR(INDEX(Materiali!$C:$C,MATCH(D185,Materiali!$A:$A,0)),0))</f>
        <v/>
      </c>
      <c r="I185" s="9" t="str">
        <f aca="false">IF(OR(G185="",H185=""),"",IF(F185="Uscita",-1,1)*G185*H185)</f>
        <v/>
      </c>
      <c r="J185" s="13"/>
      <c r="K185" s="13"/>
    </row>
    <row r="186" customFormat="false" ht="15" hidden="false" customHeight="false" outlineLevel="0" collapsed="false">
      <c r="A186" s="12"/>
      <c r="B186" s="13"/>
      <c r="C186" s="13"/>
      <c r="D186" s="13"/>
      <c r="E186" s="7" t="str">
        <f aca="false">IF(D186="","",IFERROR(INDEX(Materiali!$B:$B,MATCH(D186,Materiali!$A:$A,0)),"codice?"))</f>
        <v/>
      </c>
      <c r="F186" s="13"/>
      <c r="G186" s="13"/>
      <c r="H186" s="9" t="str">
        <f aca="false">IF(D186="","",IFERROR(INDEX(Materiali!$C:$C,MATCH(D186,Materiali!$A:$A,0)),0))</f>
        <v/>
      </c>
      <c r="I186" s="9" t="str">
        <f aca="false">IF(OR(G186="",H186=""),"",IF(F186="Uscita",-1,1)*G186*H186)</f>
        <v/>
      </c>
      <c r="J186" s="13"/>
      <c r="K186" s="13"/>
    </row>
    <row r="187" customFormat="false" ht="15" hidden="false" customHeight="false" outlineLevel="0" collapsed="false">
      <c r="A187" s="12"/>
      <c r="B187" s="13"/>
      <c r="C187" s="13"/>
      <c r="D187" s="13"/>
      <c r="E187" s="7" t="str">
        <f aca="false">IF(D187="","",IFERROR(INDEX(Materiali!$B:$B,MATCH(D187,Materiali!$A:$A,0)),"codice?"))</f>
        <v/>
      </c>
      <c r="F187" s="13"/>
      <c r="G187" s="13"/>
      <c r="H187" s="9" t="str">
        <f aca="false">IF(D187="","",IFERROR(INDEX(Materiali!$C:$C,MATCH(D187,Materiali!$A:$A,0)),0))</f>
        <v/>
      </c>
      <c r="I187" s="9" t="str">
        <f aca="false">IF(OR(G187="",H187=""),"",IF(F187="Uscita",-1,1)*G187*H187)</f>
        <v/>
      </c>
      <c r="J187" s="13"/>
      <c r="K187" s="13"/>
    </row>
    <row r="188" customFormat="false" ht="15" hidden="false" customHeight="false" outlineLevel="0" collapsed="false">
      <c r="A188" s="12"/>
      <c r="B188" s="13"/>
      <c r="C188" s="13"/>
      <c r="D188" s="13"/>
      <c r="E188" s="7" t="str">
        <f aca="false">IF(D188="","",IFERROR(INDEX(Materiali!$B:$B,MATCH(D188,Materiali!$A:$A,0)),"codice?"))</f>
        <v/>
      </c>
      <c r="F188" s="13"/>
      <c r="G188" s="13"/>
      <c r="H188" s="9" t="str">
        <f aca="false">IF(D188="","",IFERROR(INDEX(Materiali!$C:$C,MATCH(D188,Materiali!$A:$A,0)),0))</f>
        <v/>
      </c>
      <c r="I188" s="9" t="str">
        <f aca="false">IF(OR(G188="",H188=""),"",IF(F188="Uscita",-1,1)*G188*H188)</f>
        <v/>
      </c>
      <c r="J188" s="13"/>
      <c r="K188" s="13"/>
    </row>
    <row r="189" customFormat="false" ht="15" hidden="false" customHeight="false" outlineLevel="0" collapsed="false">
      <c r="A189" s="12"/>
      <c r="B189" s="13"/>
      <c r="C189" s="13"/>
      <c r="D189" s="13"/>
      <c r="E189" s="7" t="str">
        <f aca="false">IF(D189="","",IFERROR(INDEX(Materiali!$B:$B,MATCH(D189,Materiali!$A:$A,0)),"codice?"))</f>
        <v/>
      </c>
      <c r="F189" s="13"/>
      <c r="G189" s="13"/>
      <c r="H189" s="9" t="str">
        <f aca="false">IF(D189="","",IFERROR(INDEX(Materiali!$C:$C,MATCH(D189,Materiali!$A:$A,0)),0))</f>
        <v/>
      </c>
      <c r="I189" s="9" t="str">
        <f aca="false">IF(OR(G189="",H189=""),"",IF(F189="Uscita",-1,1)*G189*H189)</f>
        <v/>
      </c>
      <c r="J189" s="13"/>
      <c r="K189" s="13"/>
    </row>
    <row r="190" customFormat="false" ht="15" hidden="false" customHeight="false" outlineLevel="0" collapsed="false">
      <c r="A190" s="12"/>
      <c r="B190" s="13"/>
      <c r="C190" s="13"/>
      <c r="D190" s="13"/>
      <c r="E190" s="7" t="str">
        <f aca="false">IF(D190="","",IFERROR(INDEX(Materiali!$B:$B,MATCH(D190,Materiali!$A:$A,0)),"codice?"))</f>
        <v/>
      </c>
      <c r="F190" s="13"/>
      <c r="G190" s="13"/>
      <c r="H190" s="9" t="str">
        <f aca="false">IF(D190="","",IFERROR(INDEX(Materiali!$C:$C,MATCH(D190,Materiali!$A:$A,0)),0))</f>
        <v/>
      </c>
      <c r="I190" s="9" t="str">
        <f aca="false">IF(OR(G190="",H190=""),"",IF(F190="Uscita",-1,1)*G190*H190)</f>
        <v/>
      </c>
      <c r="J190" s="13"/>
      <c r="K190" s="13"/>
    </row>
    <row r="191" customFormat="false" ht="15" hidden="false" customHeight="false" outlineLevel="0" collapsed="false">
      <c r="A191" s="12"/>
      <c r="B191" s="13"/>
      <c r="C191" s="13"/>
      <c r="D191" s="13"/>
      <c r="E191" s="7" t="str">
        <f aca="false">IF(D191="","",IFERROR(INDEX(Materiali!$B:$B,MATCH(D191,Materiali!$A:$A,0)),"codice?"))</f>
        <v/>
      </c>
      <c r="F191" s="13"/>
      <c r="G191" s="13"/>
      <c r="H191" s="9" t="str">
        <f aca="false">IF(D191="","",IFERROR(INDEX(Materiali!$C:$C,MATCH(D191,Materiali!$A:$A,0)),0))</f>
        <v/>
      </c>
      <c r="I191" s="9" t="str">
        <f aca="false">IF(OR(G191="",H191=""),"",IF(F191="Uscita",-1,1)*G191*H191)</f>
        <v/>
      </c>
      <c r="J191" s="13"/>
      <c r="K191" s="13"/>
    </row>
    <row r="192" customFormat="false" ht="15" hidden="false" customHeight="false" outlineLevel="0" collapsed="false">
      <c r="A192" s="12"/>
      <c r="B192" s="13"/>
      <c r="C192" s="13"/>
      <c r="D192" s="13"/>
      <c r="E192" s="7" t="str">
        <f aca="false">IF(D192="","",IFERROR(INDEX(Materiali!$B:$B,MATCH(D192,Materiali!$A:$A,0)),"codice?"))</f>
        <v/>
      </c>
      <c r="F192" s="13"/>
      <c r="G192" s="13"/>
      <c r="H192" s="9" t="str">
        <f aca="false">IF(D192="","",IFERROR(INDEX(Materiali!$C:$C,MATCH(D192,Materiali!$A:$A,0)),0))</f>
        <v/>
      </c>
      <c r="I192" s="9" t="str">
        <f aca="false">IF(OR(G192="",H192=""),"",IF(F192="Uscita",-1,1)*G192*H192)</f>
        <v/>
      </c>
      <c r="J192" s="13"/>
      <c r="K192" s="13"/>
    </row>
    <row r="193" customFormat="false" ht="15" hidden="false" customHeight="false" outlineLevel="0" collapsed="false">
      <c r="A193" s="12"/>
      <c r="B193" s="13"/>
      <c r="C193" s="13"/>
      <c r="D193" s="13"/>
      <c r="E193" s="7" t="str">
        <f aca="false">IF(D193="","",IFERROR(INDEX(Materiali!$B:$B,MATCH(D193,Materiali!$A:$A,0)),"codice?"))</f>
        <v/>
      </c>
      <c r="F193" s="13"/>
      <c r="G193" s="13"/>
      <c r="H193" s="9" t="str">
        <f aca="false">IF(D193="","",IFERROR(INDEX(Materiali!$C:$C,MATCH(D193,Materiali!$A:$A,0)),0))</f>
        <v/>
      </c>
      <c r="I193" s="9" t="str">
        <f aca="false">IF(OR(G193="",H193=""),"",IF(F193="Uscita",-1,1)*G193*H193)</f>
        <v/>
      </c>
      <c r="J193" s="13"/>
      <c r="K193" s="13"/>
    </row>
    <row r="194" customFormat="false" ht="15" hidden="false" customHeight="false" outlineLevel="0" collapsed="false">
      <c r="A194" s="12"/>
      <c r="B194" s="13"/>
      <c r="C194" s="13"/>
      <c r="D194" s="13"/>
      <c r="E194" s="7" t="str">
        <f aca="false">IF(D194="","",IFERROR(INDEX(Materiali!$B:$B,MATCH(D194,Materiali!$A:$A,0)),"codice?"))</f>
        <v/>
      </c>
      <c r="F194" s="13"/>
      <c r="G194" s="13"/>
      <c r="H194" s="9" t="str">
        <f aca="false">IF(D194="","",IFERROR(INDEX(Materiali!$C:$C,MATCH(D194,Materiali!$A:$A,0)),0))</f>
        <v/>
      </c>
      <c r="I194" s="9" t="str">
        <f aca="false">IF(OR(G194="",H194=""),"",IF(F194="Uscita",-1,1)*G194*H194)</f>
        <v/>
      </c>
      <c r="J194" s="13"/>
      <c r="K194" s="13"/>
    </row>
    <row r="195" customFormat="false" ht="15" hidden="false" customHeight="false" outlineLevel="0" collapsed="false">
      <c r="A195" s="12"/>
      <c r="B195" s="13"/>
      <c r="C195" s="13"/>
      <c r="D195" s="13"/>
      <c r="E195" s="7" t="str">
        <f aca="false">IF(D195="","",IFERROR(INDEX(Materiali!$B:$B,MATCH(D195,Materiali!$A:$A,0)),"codice?"))</f>
        <v/>
      </c>
      <c r="F195" s="13"/>
      <c r="G195" s="13"/>
      <c r="H195" s="9" t="str">
        <f aca="false">IF(D195="","",IFERROR(INDEX(Materiali!$C:$C,MATCH(D195,Materiali!$A:$A,0)),0))</f>
        <v/>
      </c>
      <c r="I195" s="9" t="str">
        <f aca="false">IF(OR(G195="",H195=""),"",IF(F195="Uscita",-1,1)*G195*H195)</f>
        <v/>
      </c>
      <c r="J195" s="13"/>
      <c r="K195" s="13"/>
    </row>
    <row r="196" customFormat="false" ht="15" hidden="false" customHeight="false" outlineLevel="0" collapsed="false">
      <c r="A196" s="12"/>
      <c r="B196" s="13"/>
      <c r="C196" s="13"/>
      <c r="D196" s="13"/>
      <c r="E196" s="7" t="str">
        <f aca="false">IF(D196="","",IFERROR(INDEX(Materiali!$B:$B,MATCH(D196,Materiali!$A:$A,0)),"codice?"))</f>
        <v/>
      </c>
      <c r="F196" s="13"/>
      <c r="G196" s="13"/>
      <c r="H196" s="9" t="str">
        <f aca="false">IF(D196="","",IFERROR(INDEX(Materiali!$C:$C,MATCH(D196,Materiali!$A:$A,0)),0))</f>
        <v/>
      </c>
      <c r="I196" s="9" t="str">
        <f aca="false">IF(OR(G196="",H196=""),"",IF(F196="Uscita",-1,1)*G196*H196)</f>
        <v/>
      </c>
      <c r="J196" s="13"/>
      <c r="K196" s="13"/>
    </row>
    <row r="197" customFormat="false" ht="15" hidden="false" customHeight="false" outlineLevel="0" collapsed="false">
      <c r="A197" s="12"/>
      <c r="B197" s="13"/>
      <c r="C197" s="13"/>
      <c r="D197" s="13"/>
      <c r="E197" s="7" t="str">
        <f aca="false">IF(D197="","",IFERROR(INDEX(Materiali!$B:$B,MATCH(D197,Materiali!$A:$A,0)),"codice?"))</f>
        <v/>
      </c>
      <c r="F197" s="13"/>
      <c r="G197" s="13"/>
      <c r="H197" s="9" t="str">
        <f aca="false">IF(D197="","",IFERROR(INDEX(Materiali!$C:$C,MATCH(D197,Materiali!$A:$A,0)),0))</f>
        <v/>
      </c>
      <c r="I197" s="9" t="str">
        <f aca="false">IF(OR(G197="",H197=""),"",IF(F197="Uscita",-1,1)*G197*H197)</f>
        <v/>
      </c>
      <c r="J197" s="13"/>
      <c r="K197" s="13"/>
    </row>
    <row r="198" customFormat="false" ht="15" hidden="false" customHeight="false" outlineLevel="0" collapsed="false">
      <c r="A198" s="12"/>
      <c r="B198" s="13"/>
      <c r="C198" s="13"/>
      <c r="D198" s="13"/>
      <c r="E198" s="7" t="str">
        <f aca="false">IF(D198="","",IFERROR(INDEX(Materiali!$B:$B,MATCH(D198,Materiali!$A:$A,0)),"codice?"))</f>
        <v/>
      </c>
      <c r="F198" s="13"/>
      <c r="G198" s="13"/>
      <c r="H198" s="9" t="str">
        <f aca="false">IF(D198="","",IFERROR(INDEX(Materiali!$C:$C,MATCH(D198,Materiali!$A:$A,0)),0))</f>
        <v/>
      </c>
      <c r="I198" s="9" t="str">
        <f aca="false">IF(OR(G198="",H198=""),"",IF(F198="Uscita",-1,1)*G198*H198)</f>
        <v/>
      </c>
      <c r="J198" s="13"/>
      <c r="K198" s="13"/>
    </row>
    <row r="199" customFormat="false" ht="15" hidden="false" customHeight="false" outlineLevel="0" collapsed="false">
      <c r="A199" s="12"/>
      <c r="B199" s="13"/>
      <c r="C199" s="13"/>
      <c r="D199" s="13"/>
      <c r="E199" s="7" t="str">
        <f aca="false">IF(D199="","",IFERROR(INDEX(Materiali!$B:$B,MATCH(D199,Materiali!$A:$A,0)),"codice?"))</f>
        <v/>
      </c>
      <c r="F199" s="13"/>
      <c r="G199" s="13"/>
      <c r="H199" s="9" t="str">
        <f aca="false">IF(D199="","",IFERROR(INDEX(Materiali!$C:$C,MATCH(D199,Materiali!$A:$A,0)),0))</f>
        <v/>
      </c>
      <c r="I199" s="9" t="str">
        <f aca="false">IF(OR(G199="",H199=""),"",IF(F199="Uscita",-1,1)*G199*H199)</f>
        <v/>
      </c>
      <c r="J199" s="13"/>
      <c r="K199" s="13"/>
    </row>
    <row r="200" customFormat="false" ht="15" hidden="false" customHeight="false" outlineLevel="0" collapsed="false">
      <c r="A200" s="12"/>
      <c r="B200" s="13"/>
      <c r="C200" s="13"/>
      <c r="D200" s="13"/>
      <c r="E200" s="7" t="str">
        <f aca="false">IF(D200="","",IFERROR(INDEX(Materiali!$B:$B,MATCH(D200,Materiali!$A:$A,0)),"codice?"))</f>
        <v/>
      </c>
      <c r="F200" s="13"/>
      <c r="G200" s="13"/>
      <c r="H200" s="9" t="str">
        <f aca="false">IF(D200="","",IFERROR(INDEX(Materiali!$C:$C,MATCH(D200,Materiali!$A:$A,0)),0))</f>
        <v/>
      </c>
      <c r="I200" s="9" t="str">
        <f aca="false">IF(OR(G200="",H200=""),"",IF(F200="Uscita",-1,1)*G200*H200)</f>
        <v/>
      </c>
      <c r="J200" s="13"/>
      <c r="K200" s="13"/>
    </row>
    <row r="201" customFormat="false" ht="15" hidden="false" customHeight="false" outlineLevel="0" collapsed="false">
      <c r="A201" s="12"/>
      <c r="B201" s="13"/>
      <c r="C201" s="13"/>
      <c r="D201" s="13"/>
      <c r="E201" s="7" t="str">
        <f aca="false">IF(D201="","",IFERROR(INDEX(Materiali!$B:$B,MATCH(D201,Materiali!$A:$A,0)),"codice?"))</f>
        <v/>
      </c>
      <c r="F201" s="13"/>
      <c r="G201" s="13"/>
      <c r="H201" s="9" t="str">
        <f aca="false">IF(D201="","",IFERROR(INDEX(Materiali!$C:$C,MATCH(D201,Materiali!$A:$A,0)),0))</f>
        <v/>
      </c>
      <c r="I201" s="9" t="str">
        <f aca="false">IF(OR(G201="",H201=""),"",IF(F201="Uscita",-1,1)*G201*H201)</f>
        <v/>
      </c>
      <c r="J201" s="13"/>
      <c r="K201" s="13"/>
    </row>
    <row r="202" customFormat="false" ht="15" hidden="false" customHeight="false" outlineLevel="0" collapsed="false">
      <c r="A202" s="12"/>
      <c r="B202" s="13"/>
      <c r="C202" s="13"/>
      <c r="D202" s="13"/>
      <c r="E202" s="7" t="str">
        <f aca="false">IF(D202="","",IFERROR(INDEX(Materiali!$B:$B,MATCH(D202,Materiali!$A:$A,0)),"codice?"))</f>
        <v/>
      </c>
      <c r="F202" s="13"/>
      <c r="G202" s="13"/>
      <c r="H202" s="9" t="str">
        <f aca="false">IF(D202="","",IFERROR(INDEX(Materiali!$C:$C,MATCH(D202,Materiali!$A:$A,0)),0))</f>
        <v/>
      </c>
      <c r="I202" s="9" t="str">
        <f aca="false">IF(OR(G202="",H202=""),"",IF(F202="Uscita",-1,1)*G202*H202)</f>
        <v/>
      </c>
      <c r="J202" s="13"/>
      <c r="K202" s="13"/>
    </row>
    <row r="203" customFormat="false" ht="15" hidden="false" customHeight="false" outlineLevel="0" collapsed="false">
      <c r="A203" s="12"/>
      <c r="B203" s="13"/>
      <c r="C203" s="13"/>
      <c r="D203" s="13"/>
      <c r="E203" s="7" t="str">
        <f aca="false">IF(D203="","",IFERROR(INDEX(Materiali!$B:$B,MATCH(D203,Materiali!$A:$A,0)),"codice?"))</f>
        <v/>
      </c>
      <c r="F203" s="13"/>
      <c r="G203" s="13"/>
      <c r="H203" s="9" t="str">
        <f aca="false">IF(D203="","",IFERROR(INDEX(Materiali!$C:$C,MATCH(D203,Materiali!$A:$A,0)),0))</f>
        <v/>
      </c>
      <c r="I203" s="9" t="str">
        <f aca="false">IF(OR(G203="",H203=""),"",IF(F203="Uscita",-1,1)*G203*H203)</f>
        <v/>
      </c>
      <c r="J203" s="13"/>
      <c r="K203" s="13"/>
    </row>
    <row r="204" customFormat="false" ht="15" hidden="false" customHeight="false" outlineLevel="0" collapsed="false">
      <c r="A204" s="12"/>
      <c r="B204" s="13"/>
      <c r="C204" s="13"/>
      <c r="D204" s="13"/>
      <c r="E204" s="7" t="str">
        <f aca="false">IF(D204="","",IFERROR(INDEX(Materiali!$B:$B,MATCH(D204,Materiali!$A:$A,0)),"codice?"))</f>
        <v/>
      </c>
      <c r="F204" s="13"/>
      <c r="G204" s="13"/>
      <c r="H204" s="9" t="str">
        <f aca="false">IF(D204="","",IFERROR(INDEX(Materiali!$C:$C,MATCH(D204,Materiali!$A:$A,0)),0))</f>
        <v/>
      </c>
      <c r="I204" s="9" t="str">
        <f aca="false">IF(OR(G204="",H204=""),"",IF(F204="Uscita",-1,1)*G204*H204)</f>
        <v/>
      </c>
      <c r="J204" s="13"/>
      <c r="K204" s="13"/>
    </row>
    <row r="205" customFormat="false" ht="15" hidden="false" customHeight="false" outlineLevel="0" collapsed="false">
      <c r="A205" s="12"/>
      <c r="B205" s="13"/>
      <c r="C205" s="13"/>
      <c r="D205" s="13"/>
      <c r="E205" s="7" t="str">
        <f aca="false">IF(D205="","",IFERROR(INDEX(Materiali!$B:$B,MATCH(D205,Materiali!$A:$A,0)),"codice?"))</f>
        <v/>
      </c>
      <c r="F205" s="13"/>
      <c r="G205" s="13"/>
      <c r="H205" s="9" t="str">
        <f aca="false">IF(D205="","",IFERROR(INDEX(Materiali!$C:$C,MATCH(D205,Materiali!$A:$A,0)),0))</f>
        <v/>
      </c>
      <c r="I205" s="9" t="str">
        <f aca="false">IF(OR(G205="",H205=""),"",IF(F205="Uscita",-1,1)*G205*H205)</f>
        <v/>
      </c>
      <c r="J205" s="13"/>
      <c r="K205" s="13"/>
    </row>
    <row r="206" customFormat="false" ht="15" hidden="false" customHeight="false" outlineLevel="0" collapsed="false">
      <c r="A206" s="12"/>
      <c r="B206" s="13"/>
      <c r="C206" s="13"/>
      <c r="D206" s="13"/>
      <c r="E206" s="7" t="str">
        <f aca="false">IF(D206="","",IFERROR(INDEX(Materiali!$B:$B,MATCH(D206,Materiali!$A:$A,0)),"codice?"))</f>
        <v/>
      </c>
      <c r="F206" s="13"/>
      <c r="G206" s="13"/>
      <c r="H206" s="9" t="str">
        <f aca="false">IF(D206="","",IFERROR(INDEX(Materiali!$C:$C,MATCH(D206,Materiali!$A:$A,0)),0))</f>
        <v/>
      </c>
      <c r="I206" s="9" t="str">
        <f aca="false">IF(OR(G206="",H206=""),"",IF(F206="Uscita",-1,1)*G206*H206)</f>
        <v/>
      </c>
      <c r="J206" s="13"/>
      <c r="K206" s="13"/>
    </row>
    <row r="207" customFormat="false" ht="15" hidden="false" customHeight="false" outlineLevel="0" collapsed="false">
      <c r="A207" s="12"/>
      <c r="B207" s="13"/>
      <c r="C207" s="13"/>
      <c r="D207" s="13"/>
      <c r="E207" s="7" t="str">
        <f aca="false">IF(D207="","",IFERROR(INDEX(Materiali!$B:$B,MATCH(D207,Materiali!$A:$A,0)),"codice?"))</f>
        <v/>
      </c>
      <c r="F207" s="13"/>
      <c r="G207" s="13"/>
      <c r="H207" s="9" t="str">
        <f aca="false">IF(D207="","",IFERROR(INDEX(Materiali!$C:$C,MATCH(D207,Materiali!$A:$A,0)),0))</f>
        <v/>
      </c>
      <c r="I207" s="9" t="str">
        <f aca="false">IF(OR(G207="",H207=""),"",IF(F207="Uscita",-1,1)*G207*H207)</f>
        <v/>
      </c>
      <c r="J207" s="13"/>
      <c r="K207" s="13"/>
    </row>
    <row r="208" customFormat="false" ht="15" hidden="false" customHeight="false" outlineLevel="0" collapsed="false">
      <c r="A208" s="12"/>
      <c r="B208" s="13"/>
      <c r="C208" s="13"/>
      <c r="D208" s="13"/>
      <c r="E208" s="7" t="str">
        <f aca="false">IF(D208="","",IFERROR(INDEX(Materiali!$B:$B,MATCH(D208,Materiali!$A:$A,0)),"codice?"))</f>
        <v/>
      </c>
      <c r="F208" s="13"/>
      <c r="G208" s="13"/>
      <c r="H208" s="9" t="str">
        <f aca="false">IF(D208="","",IFERROR(INDEX(Materiali!$C:$C,MATCH(D208,Materiali!$A:$A,0)),0))</f>
        <v/>
      </c>
      <c r="I208" s="9" t="str">
        <f aca="false">IF(OR(G208="",H208=""),"",IF(F208="Uscita",-1,1)*G208*H208)</f>
        <v/>
      </c>
      <c r="J208" s="13"/>
      <c r="K208" s="13"/>
    </row>
    <row r="209" customFormat="false" ht="15" hidden="false" customHeight="false" outlineLevel="0" collapsed="false">
      <c r="A209" s="12"/>
      <c r="B209" s="13"/>
      <c r="C209" s="13"/>
      <c r="D209" s="13"/>
      <c r="E209" s="7" t="str">
        <f aca="false">IF(D209="","",IFERROR(INDEX(Materiali!$B:$B,MATCH(D209,Materiali!$A:$A,0)),"codice?"))</f>
        <v/>
      </c>
      <c r="F209" s="13"/>
      <c r="G209" s="13"/>
      <c r="H209" s="9" t="str">
        <f aca="false">IF(D209="","",IFERROR(INDEX(Materiali!$C:$C,MATCH(D209,Materiali!$A:$A,0)),0))</f>
        <v/>
      </c>
      <c r="I209" s="9" t="str">
        <f aca="false">IF(OR(G209="",H209=""),"",IF(F209="Uscita",-1,1)*G209*H209)</f>
        <v/>
      </c>
      <c r="J209" s="13"/>
      <c r="K209" s="13"/>
    </row>
    <row r="210" customFormat="false" ht="15" hidden="false" customHeight="false" outlineLevel="0" collapsed="false">
      <c r="A210" s="12"/>
      <c r="B210" s="13"/>
      <c r="C210" s="13"/>
      <c r="D210" s="13"/>
      <c r="E210" s="7" t="str">
        <f aca="false">IF(D210="","",IFERROR(INDEX(Materiali!$B:$B,MATCH(D210,Materiali!$A:$A,0)),"codice?"))</f>
        <v/>
      </c>
      <c r="F210" s="13"/>
      <c r="G210" s="13"/>
      <c r="H210" s="9" t="str">
        <f aca="false">IF(D210="","",IFERROR(INDEX(Materiali!$C:$C,MATCH(D210,Materiali!$A:$A,0)),0))</f>
        <v/>
      </c>
      <c r="I210" s="9" t="str">
        <f aca="false">IF(OR(G210="",H210=""),"",IF(F210="Uscita",-1,1)*G210*H210)</f>
        <v/>
      </c>
      <c r="J210" s="13"/>
      <c r="K210" s="13"/>
    </row>
    <row r="211" customFormat="false" ht="15" hidden="false" customHeight="false" outlineLevel="0" collapsed="false">
      <c r="A211" s="12"/>
      <c r="B211" s="13"/>
      <c r="C211" s="13"/>
      <c r="D211" s="13"/>
      <c r="E211" s="7" t="str">
        <f aca="false">IF(D211="","",IFERROR(INDEX(Materiali!$B:$B,MATCH(D211,Materiali!$A:$A,0)),"codice?"))</f>
        <v/>
      </c>
      <c r="F211" s="13"/>
      <c r="G211" s="13"/>
      <c r="H211" s="9" t="str">
        <f aca="false">IF(D211="","",IFERROR(INDEX(Materiali!$C:$C,MATCH(D211,Materiali!$A:$A,0)),0))</f>
        <v/>
      </c>
      <c r="I211" s="9" t="str">
        <f aca="false">IF(OR(G211="",H211=""),"",IF(F211="Uscita",-1,1)*G211*H211)</f>
        <v/>
      </c>
      <c r="J211" s="13"/>
      <c r="K211" s="13"/>
    </row>
    <row r="212" customFormat="false" ht="15" hidden="false" customHeight="false" outlineLevel="0" collapsed="false">
      <c r="A212" s="12"/>
      <c r="B212" s="13"/>
      <c r="C212" s="13"/>
      <c r="D212" s="13"/>
      <c r="E212" s="7" t="str">
        <f aca="false">IF(D212="","",IFERROR(INDEX(Materiali!$B:$B,MATCH(D212,Materiali!$A:$A,0)),"codice?"))</f>
        <v/>
      </c>
      <c r="F212" s="13"/>
      <c r="G212" s="13"/>
      <c r="H212" s="9" t="str">
        <f aca="false">IF(D212="","",IFERROR(INDEX(Materiali!$C:$C,MATCH(D212,Materiali!$A:$A,0)),0))</f>
        <v/>
      </c>
      <c r="I212" s="9" t="str">
        <f aca="false">IF(OR(G212="",H212=""),"",IF(F212="Uscita",-1,1)*G212*H212)</f>
        <v/>
      </c>
      <c r="J212" s="13"/>
      <c r="K212" s="13"/>
    </row>
    <row r="213" customFormat="false" ht="15" hidden="false" customHeight="false" outlineLevel="0" collapsed="false">
      <c r="A213" s="12"/>
      <c r="B213" s="13"/>
      <c r="C213" s="13"/>
      <c r="D213" s="13"/>
      <c r="E213" s="7" t="str">
        <f aca="false">IF(D213="","",IFERROR(INDEX(Materiali!$B:$B,MATCH(D213,Materiali!$A:$A,0)),"codice?"))</f>
        <v/>
      </c>
      <c r="F213" s="13"/>
      <c r="G213" s="13"/>
      <c r="H213" s="9" t="str">
        <f aca="false">IF(D213="","",IFERROR(INDEX(Materiali!$C:$C,MATCH(D213,Materiali!$A:$A,0)),0))</f>
        <v/>
      </c>
      <c r="I213" s="9" t="str">
        <f aca="false">IF(OR(G213="",H213=""),"",IF(F213="Uscita",-1,1)*G213*H213)</f>
        <v/>
      </c>
      <c r="J213" s="13"/>
      <c r="K213" s="13"/>
    </row>
    <row r="214" customFormat="false" ht="15" hidden="false" customHeight="false" outlineLevel="0" collapsed="false">
      <c r="A214" s="12"/>
      <c r="B214" s="13"/>
      <c r="C214" s="13"/>
      <c r="D214" s="13"/>
      <c r="E214" s="7" t="str">
        <f aca="false">IF(D214="","",IFERROR(INDEX(Materiali!$B:$B,MATCH(D214,Materiali!$A:$A,0)),"codice?"))</f>
        <v/>
      </c>
      <c r="F214" s="13"/>
      <c r="G214" s="13"/>
      <c r="H214" s="9" t="str">
        <f aca="false">IF(D214="","",IFERROR(INDEX(Materiali!$C:$C,MATCH(D214,Materiali!$A:$A,0)),0))</f>
        <v/>
      </c>
      <c r="I214" s="9" t="str">
        <f aca="false">IF(OR(G214="",H214=""),"",IF(F214="Uscita",-1,1)*G214*H214)</f>
        <v/>
      </c>
      <c r="J214" s="13"/>
      <c r="K214" s="13"/>
    </row>
    <row r="215" customFormat="false" ht="15" hidden="false" customHeight="false" outlineLevel="0" collapsed="false">
      <c r="A215" s="12"/>
      <c r="B215" s="13"/>
      <c r="C215" s="13"/>
      <c r="D215" s="13"/>
      <c r="E215" s="7" t="str">
        <f aca="false">IF(D215="","",IFERROR(INDEX(Materiali!$B:$B,MATCH(D215,Materiali!$A:$A,0)),"codice?"))</f>
        <v/>
      </c>
      <c r="F215" s="13"/>
      <c r="G215" s="13"/>
      <c r="H215" s="9" t="str">
        <f aca="false">IF(D215="","",IFERROR(INDEX(Materiali!$C:$C,MATCH(D215,Materiali!$A:$A,0)),0))</f>
        <v/>
      </c>
      <c r="I215" s="9" t="str">
        <f aca="false">IF(OR(G215="",H215=""),"",IF(F215="Uscita",-1,1)*G215*H215)</f>
        <v/>
      </c>
      <c r="J215" s="13"/>
      <c r="K215" s="13"/>
    </row>
    <row r="216" customFormat="false" ht="15" hidden="false" customHeight="false" outlineLevel="0" collapsed="false">
      <c r="A216" s="12"/>
      <c r="B216" s="13"/>
      <c r="C216" s="13"/>
      <c r="D216" s="13"/>
      <c r="E216" s="7" t="str">
        <f aca="false">IF(D216="","",IFERROR(INDEX(Materiali!$B:$B,MATCH(D216,Materiali!$A:$A,0)),"codice?"))</f>
        <v/>
      </c>
      <c r="F216" s="13"/>
      <c r="G216" s="13"/>
      <c r="H216" s="9" t="str">
        <f aca="false">IF(D216="","",IFERROR(INDEX(Materiali!$C:$C,MATCH(D216,Materiali!$A:$A,0)),0))</f>
        <v/>
      </c>
      <c r="I216" s="9" t="str">
        <f aca="false">IF(OR(G216="",H216=""),"",IF(F216="Uscita",-1,1)*G216*H216)</f>
        <v/>
      </c>
      <c r="J216" s="13"/>
      <c r="K216" s="13"/>
    </row>
    <row r="217" customFormat="false" ht="15" hidden="false" customHeight="false" outlineLevel="0" collapsed="false">
      <c r="A217" s="12"/>
      <c r="B217" s="13"/>
      <c r="C217" s="13"/>
      <c r="D217" s="13"/>
      <c r="E217" s="7" t="str">
        <f aca="false">IF(D217="","",IFERROR(INDEX(Materiali!$B:$B,MATCH(D217,Materiali!$A:$A,0)),"codice?"))</f>
        <v/>
      </c>
      <c r="F217" s="13"/>
      <c r="G217" s="13"/>
      <c r="H217" s="9" t="str">
        <f aca="false">IF(D217="","",IFERROR(INDEX(Materiali!$C:$C,MATCH(D217,Materiali!$A:$A,0)),0))</f>
        <v/>
      </c>
      <c r="I217" s="9" t="str">
        <f aca="false">IF(OR(G217="",H217=""),"",IF(F217="Uscita",-1,1)*G217*H217)</f>
        <v/>
      </c>
      <c r="J217" s="13"/>
      <c r="K217" s="13"/>
    </row>
    <row r="218" customFormat="false" ht="15" hidden="false" customHeight="false" outlineLevel="0" collapsed="false">
      <c r="A218" s="12"/>
      <c r="B218" s="13"/>
      <c r="C218" s="13"/>
      <c r="D218" s="13"/>
      <c r="E218" s="7" t="str">
        <f aca="false">IF(D218="","",IFERROR(INDEX(Materiali!$B:$B,MATCH(D218,Materiali!$A:$A,0)),"codice?"))</f>
        <v/>
      </c>
      <c r="F218" s="13"/>
      <c r="G218" s="13"/>
      <c r="H218" s="9" t="str">
        <f aca="false">IF(D218="","",IFERROR(INDEX(Materiali!$C:$C,MATCH(D218,Materiali!$A:$A,0)),0))</f>
        <v/>
      </c>
      <c r="I218" s="9" t="str">
        <f aca="false">IF(OR(G218="",H218=""),"",IF(F218="Uscita",-1,1)*G218*H218)</f>
        <v/>
      </c>
      <c r="J218" s="13"/>
      <c r="K218" s="13"/>
    </row>
    <row r="219" customFormat="false" ht="15" hidden="false" customHeight="false" outlineLevel="0" collapsed="false">
      <c r="A219" s="12"/>
      <c r="B219" s="13"/>
      <c r="C219" s="13"/>
      <c r="D219" s="13"/>
      <c r="E219" s="7" t="str">
        <f aca="false">IF(D219="","",IFERROR(INDEX(Materiali!$B:$B,MATCH(D219,Materiali!$A:$A,0)),"codice?"))</f>
        <v/>
      </c>
      <c r="F219" s="13"/>
      <c r="G219" s="13"/>
      <c r="H219" s="9" t="str">
        <f aca="false">IF(D219="","",IFERROR(INDEX(Materiali!$C:$C,MATCH(D219,Materiali!$A:$A,0)),0))</f>
        <v/>
      </c>
      <c r="I219" s="9" t="str">
        <f aca="false">IF(OR(G219="",H219=""),"",IF(F219="Uscita",-1,1)*G219*H219)</f>
        <v/>
      </c>
      <c r="J219" s="13"/>
      <c r="K219" s="13"/>
    </row>
    <row r="220" customFormat="false" ht="15" hidden="false" customHeight="false" outlineLevel="0" collapsed="false">
      <c r="A220" s="12"/>
      <c r="B220" s="13"/>
      <c r="C220" s="13"/>
      <c r="D220" s="13"/>
      <c r="E220" s="7" t="str">
        <f aca="false">IF(D220="","",IFERROR(INDEX(Materiali!$B:$B,MATCH(D220,Materiali!$A:$A,0)),"codice?"))</f>
        <v/>
      </c>
      <c r="F220" s="13"/>
      <c r="G220" s="13"/>
      <c r="H220" s="9" t="str">
        <f aca="false">IF(D220="","",IFERROR(INDEX(Materiali!$C:$C,MATCH(D220,Materiali!$A:$A,0)),0))</f>
        <v/>
      </c>
      <c r="I220" s="9" t="str">
        <f aca="false">IF(OR(G220="",H220=""),"",IF(F220="Uscita",-1,1)*G220*H220)</f>
        <v/>
      </c>
      <c r="J220" s="13"/>
      <c r="K220" s="13"/>
    </row>
    <row r="221" customFormat="false" ht="15" hidden="false" customHeight="false" outlineLevel="0" collapsed="false">
      <c r="A221" s="12"/>
      <c r="B221" s="13"/>
      <c r="C221" s="13"/>
      <c r="D221" s="13"/>
      <c r="E221" s="7" t="str">
        <f aca="false">IF(D221="","",IFERROR(INDEX(Materiali!$B:$B,MATCH(D221,Materiali!$A:$A,0)),"codice?"))</f>
        <v/>
      </c>
      <c r="F221" s="13"/>
      <c r="G221" s="13"/>
      <c r="H221" s="9" t="str">
        <f aca="false">IF(D221="","",IFERROR(INDEX(Materiali!$C:$C,MATCH(D221,Materiali!$A:$A,0)),0))</f>
        <v/>
      </c>
      <c r="I221" s="9" t="str">
        <f aca="false">IF(OR(G221="",H221=""),"",IF(F221="Uscita",-1,1)*G221*H221)</f>
        <v/>
      </c>
      <c r="J221" s="13"/>
      <c r="K221" s="13"/>
    </row>
    <row r="222" customFormat="false" ht="15" hidden="false" customHeight="false" outlineLevel="0" collapsed="false">
      <c r="A222" s="12"/>
      <c r="B222" s="13"/>
      <c r="C222" s="13"/>
      <c r="D222" s="13"/>
      <c r="E222" s="7" t="str">
        <f aca="false">IF(D222="","",IFERROR(INDEX(Materiali!$B:$B,MATCH(D222,Materiali!$A:$A,0)),"codice?"))</f>
        <v/>
      </c>
      <c r="F222" s="13"/>
      <c r="G222" s="13"/>
      <c r="H222" s="9" t="str">
        <f aca="false">IF(D222="","",IFERROR(INDEX(Materiali!$C:$C,MATCH(D222,Materiali!$A:$A,0)),0))</f>
        <v/>
      </c>
      <c r="I222" s="9" t="str">
        <f aca="false">IF(OR(G222="",H222=""),"",IF(F222="Uscita",-1,1)*G222*H222)</f>
        <v/>
      </c>
      <c r="J222" s="13"/>
      <c r="K222" s="13"/>
    </row>
    <row r="223" customFormat="false" ht="15" hidden="false" customHeight="false" outlineLevel="0" collapsed="false">
      <c r="A223" s="12"/>
      <c r="B223" s="13"/>
      <c r="C223" s="13"/>
      <c r="D223" s="13"/>
      <c r="E223" s="7" t="str">
        <f aca="false">IF(D223="","",IFERROR(INDEX(Materiali!$B:$B,MATCH(D223,Materiali!$A:$A,0)),"codice?"))</f>
        <v/>
      </c>
      <c r="F223" s="13"/>
      <c r="G223" s="13"/>
      <c r="H223" s="9" t="str">
        <f aca="false">IF(D223="","",IFERROR(INDEX(Materiali!$C:$C,MATCH(D223,Materiali!$A:$A,0)),0))</f>
        <v/>
      </c>
      <c r="I223" s="9" t="str">
        <f aca="false">IF(OR(G223="",H223=""),"",IF(F223="Uscita",-1,1)*G223*H223)</f>
        <v/>
      </c>
      <c r="J223" s="13"/>
      <c r="K223" s="13"/>
    </row>
    <row r="224" customFormat="false" ht="15" hidden="false" customHeight="false" outlineLevel="0" collapsed="false">
      <c r="A224" s="12"/>
      <c r="B224" s="13"/>
      <c r="C224" s="13"/>
      <c r="D224" s="13"/>
      <c r="E224" s="7" t="str">
        <f aca="false">IF(D224="","",IFERROR(INDEX(Materiali!$B:$B,MATCH(D224,Materiali!$A:$A,0)),"codice?"))</f>
        <v/>
      </c>
      <c r="F224" s="13"/>
      <c r="G224" s="13"/>
      <c r="H224" s="9" t="str">
        <f aca="false">IF(D224="","",IFERROR(INDEX(Materiali!$C:$C,MATCH(D224,Materiali!$A:$A,0)),0))</f>
        <v/>
      </c>
      <c r="I224" s="9" t="str">
        <f aca="false">IF(OR(G224="",H224=""),"",IF(F224="Uscita",-1,1)*G224*H224)</f>
        <v/>
      </c>
      <c r="J224" s="13"/>
      <c r="K224" s="13"/>
    </row>
    <row r="225" customFormat="false" ht="15" hidden="false" customHeight="false" outlineLevel="0" collapsed="false">
      <c r="A225" s="12"/>
      <c r="B225" s="13"/>
      <c r="C225" s="13"/>
      <c r="D225" s="13"/>
      <c r="E225" s="7" t="str">
        <f aca="false">IF(D225="","",IFERROR(INDEX(Materiali!$B:$B,MATCH(D225,Materiali!$A:$A,0)),"codice?"))</f>
        <v/>
      </c>
      <c r="F225" s="13"/>
      <c r="G225" s="13"/>
      <c r="H225" s="9" t="str">
        <f aca="false">IF(D225="","",IFERROR(INDEX(Materiali!$C:$C,MATCH(D225,Materiali!$A:$A,0)),0))</f>
        <v/>
      </c>
      <c r="I225" s="9" t="str">
        <f aca="false">IF(OR(G225="",H225=""),"",IF(F225="Uscita",-1,1)*G225*H225)</f>
        <v/>
      </c>
      <c r="J225" s="13"/>
      <c r="K225" s="13"/>
    </row>
    <row r="226" customFormat="false" ht="15" hidden="false" customHeight="false" outlineLevel="0" collapsed="false">
      <c r="A226" s="12"/>
      <c r="B226" s="13"/>
      <c r="C226" s="13"/>
      <c r="D226" s="13"/>
      <c r="E226" s="7" t="str">
        <f aca="false">IF(D226="","",IFERROR(INDEX(Materiali!$B:$B,MATCH(D226,Materiali!$A:$A,0)),"codice?"))</f>
        <v/>
      </c>
      <c r="F226" s="13"/>
      <c r="G226" s="13"/>
      <c r="H226" s="9" t="str">
        <f aca="false">IF(D226="","",IFERROR(INDEX(Materiali!$C:$C,MATCH(D226,Materiali!$A:$A,0)),0))</f>
        <v/>
      </c>
      <c r="I226" s="9" t="str">
        <f aca="false">IF(OR(G226="",H226=""),"",IF(F226="Uscita",-1,1)*G226*H226)</f>
        <v/>
      </c>
      <c r="J226" s="13"/>
      <c r="K226" s="13"/>
    </row>
    <row r="227" customFormat="false" ht="15" hidden="false" customHeight="false" outlineLevel="0" collapsed="false">
      <c r="A227" s="12"/>
      <c r="B227" s="13"/>
      <c r="C227" s="13"/>
      <c r="D227" s="13"/>
      <c r="E227" s="7" t="str">
        <f aca="false">IF(D227="","",IFERROR(INDEX(Materiali!$B:$B,MATCH(D227,Materiali!$A:$A,0)),"codice?"))</f>
        <v/>
      </c>
      <c r="F227" s="13"/>
      <c r="G227" s="13"/>
      <c r="H227" s="9" t="str">
        <f aca="false">IF(D227="","",IFERROR(INDEX(Materiali!$C:$C,MATCH(D227,Materiali!$A:$A,0)),0))</f>
        <v/>
      </c>
      <c r="I227" s="9" t="str">
        <f aca="false">IF(OR(G227="",H227=""),"",IF(F227="Uscita",-1,1)*G227*H227)</f>
        <v/>
      </c>
      <c r="J227" s="13"/>
      <c r="K227" s="13"/>
    </row>
    <row r="228" customFormat="false" ht="15" hidden="false" customHeight="false" outlineLevel="0" collapsed="false">
      <c r="A228" s="12"/>
      <c r="B228" s="13"/>
      <c r="C228" s="13"/>
      <c r="D228" s="13"/>
      <c r="E228" s="7" t="str">
        <f aca="false">IF(D228="","",IFERROR(INDEX(Materiali!$B:$B,MATCH(D228,Materiali!$A:$A,0)),"codice?"))</f>
        <v/>
      </c>
      <c r="F228" s="13"/>
      <c r="G228" s="13"/>
      <c r="H228" s="9" t="str">
        <f aca="false">IF(D228="","",IFERROR(INDEX(Materiali!$C:$C,MATCH(D228,Materiali!$A:$A,0)),0))</f>
        <v/>
      </c>
      <c r="I228" s="9" t="str">
        <f aca="false">IF(OR(G228="",H228=""),"",IF(F228="Uscita",-1,1)*G228*H228)</f>
        <v/>
      </c>
      <c r="J228" s="13"/>
      <c r="K228" s="13"/>
    </row>
    <row r="229" customFormat="false" ht="15" hidden="false" customHeight="false" outlineLevel="0" collapsed="false">
      <c r="A229" s="12"/>
      <c r="B229" s="13"/>
      <c r="C229" s="13"/>
      <c r="D229" s="13"/>
      <c r="E229" s="7" t="str">
        <f aca="false">IF(D229="","",IFERROR(INDEX(Materiali!$B:$B,MATCH(D229,Materiali!$A:$A,0)),"codice?"))</f>
        <v/>
      </c>
      <c r="F229" s="13"/>
      <c r="G229" s="13"/>
      <c r="H229" s="9" t="str">
        <f aca="false">IF(D229="","",IFERROR(INDEX(Materiali!$C:$C,MATCH(D229,Materiali!$A:$A,0)),0))</f>
        <v/>
      </c>
      <c r="I229" s="9" t="str">
        <f aca="false">IF(OR(G229="",H229=""),"",IF(F229="Uscita",-1,1)*G229*H229)</f>
        <v/>
      </c>
      <c r="J229" s="13"/>
      <c r="K229" s="13"/>
    </row>
    <row r="230" customFormat="false" ht="15" hidden="false" customHeight="false" outlineLevel="0" collapsed="false">
      <c r="A230" s="12"/>
      <c r="B230" s="13"/>
      <c r="C230" s="13"/>
      <c r="D230" s="13"/>
      <c r="E230" s="7" t="str">
        <f aca="false">IF(D230="","",IFERROR(INDEX(Materiali!$B:$B,MATCH(D230,Materiali!$A:$A,0)),"codice?"))</f>
        <v/>
      </c>
      <c r="F230" s="13"/>
      <c r="G230" s="13"/>
      <c r="H230" s="9" t="str">
        <f aca="false">IF(D230="","",IFERROR(INDEX(Materiali!$C:$C,MATCH(D230,Materiali!$A:$A,0)),0))</f>
        <v/>
      </c>
      <c r="I230" s="9" t="str">
        <f aca="false">IF(OR(G230="",H230=""),"",IF(F230="Uscita",-1,1)*G230*H230)</f>
        <v/>
      </c>
      <c r="J230" s="13"/>
      <c r="K230" s="13"/>
    </row>
    <row r="231" customFormat="false" ht="15" hidden="false" customHeight="false" outlineLevel="0" collapsed="false">
      <c r="A231" s="12"/>
      <c r="B231" s="13"/>
      <c r="C231" s="13"/>
      <c r="D231" s="13"/>
      <c r="E231" s="7" t="str">
        <f aca="false">IF(D231="","",IFERROR(INDEX(Materiali!$B:$B,MATCH(D231,Materiali!$A:$A,0)),"codice?"))</f>
        <v/>
      </c>
      <c r="F231" s="13"/>
      <c r="G231" s="13"/>
      <c r="H231" s="9" t="str">
        <f aca="false">IF(D231="","",IFERROR(INDEX(Materiali!$C:$C,MATCH(D231,Materiali!$A:$A,0)),0))</f>
        <v/>
      </c>
      <c r="I231" s="9" t="str">
        <f aca="false">IF(OR(G231="",H231=""),"",IF(F231="Uscita",-1,1)*G231*H231)</f>
        <v/>
      </c>
      <c r="J231" s="13"/>
      <c r="K231" s="13"/>
    </row>
    <row r="232" customFormat="false" ht="15" hidden="false" customHeight="false" outlineLevel="0" collapsed="false">
      <c r="A232" s="12"/>
      <c r="B232" s="13"/>
      <c r="C232" s="13"/>
      <c r="D232" s="13"/>
      <c r="E232" s="7" t="str">
        <f aca="false">IF(D232="","",IFERROR(INDEX(Materiali!$B:$B,MATCH(D232,Materiali!$A:$A,0)),"codice?"))</f>
        <v/>
      </c>
      <c r="F232" s="13"/>
      <c r="G232" s="13"/>
      <c r="H232" s="9" t="str">
        <f aca="false">IF(D232="","",IFERROR(INDEX(Materiali!$C:$C,MATCH(D232,Materiali!$A:$A,0)),0))</f>
        <v/>
      </c>
      <c r="I232" s="9" t="str">
        <f aca="false">IF(OR(G232="",H232=""),"",IF(F232="Uscita",-1,1)*G232*H232)</f>
        <v/>
      </c>
      <c r="J232" s="13"/>
      <c r="K232" s="13"/>
    </row>
    <row r="233" customFormat="false" ht="15" hidden="false" customHeight="false" outlineLevel="0" collapsed="false">
      <c r="A233" s="12"/>
      <c r="B233" s="13"/>
      <c r="C233" s="13"/>
      <c r="D233" s="13"/>
      <c r="E233" s="7" t="str">
        <f aca="false">IF(D233="","",IFERROR(INDEX(Materiali!$B:$B,MATCH(D233,Materiali!$A:$A,0)),"codice?"))</f>
        <v/>
      </c>
      <c r="F233" s="13"/>
      <c r="G233" s="13"/>
      <c r="H233" s="9" t="str">
        <f aca="false">IF(D233="","",IFERROR(INDEX(Materiali!$C:$C,MATCH(D233,Materiali!$A:$A,0)),0))</f>
        <v/>
      </c>
      <c r="I233" s="9" t="str">
        <f aca="false">IF(OR(G233="",H233=""),"",IF(F233="Uscita",-1,1)*G233*H233)</f>
        <v/>
      </c>
      <c r="J233" s="13"/>
      <c r="K233" s="13"/>
    </row>
    <row r="234" customFormat="false" ht="15" hidden="false" customHeight="false" outlineLevel="0" collapsed="false">
      <c r="A234" s="12"/>
      <c r="B234" s="13"/>
      <c r="C234" s="13"/>
      <c r="D234" s="13"/>
      <c r="E234" s="7" t="str">
        <f aca="false">IF(D234="","",IFERROR(INDEX(Materiali!$B:$B,MATCH(D234,Materiali!$A:$A,0)),"codice?"))</f>
        <v/>
      </c>
      <c r="F234" s="13"/>
      <c r="G234" s="13"/>
      <c r="H234" s="9" t="str">
        <f aca="false">IF(D234="","",IFERROR(INDEX(Materiali!$C:$C,MATCH(D234,Materiali!$A:$A,0)),0))</f>
        <v/>
      </c>
      <c r="I234" s="9" t="str">
        <f aca="false">IF(OR(G234="",H234=""),"",IF(F234="Uscita",-1,1)*G234*H234)</f>
        <v/>
      </c>
      <c r="J234" s="13"/>
      <c r="K234" s="13"/>
    </row>
    <row r="235" customFormat="false" ht="15" hidden="false" customHeight="false" outlineLevel="0" collapsed="false">
      <c r="A235" s="12"/>
      <c r="B235" s="13"/>
      <c r="C235" s="13"/>
      <c r="D235" s="13"/>
      <c r="E235" s="7" t="str">
        <f aca="false">IF(D235="","",IFERROR(INDEX(Materiali!$B:$B,MATCH(D235,Materiali!$A:$A,0)),"codice?"))</f>
        <v/>
      </c>
      <c r="F235" s="13"/>
      <c r="G235" s="13"/>
      <c r="H235" s="9" t="str">
        <f aca="false">IF(D235="","",IFERROR(INDEX(Materiali!$C:$C,MATCH(D235,Materiali!$A:$A,0)),0))</f>
        <v/>
      </c>
      <c r="I235" s="9" t="str">
        <f aca="false">IF(OR(G235="",H235=""),"",IF(F235="Uscita",-1,1)*G235*H235)</f>
        <v/>
      </c>
      <c r="J235" s="13"/>
      <c r="K235" s="13"/>
    </row>
    <row r="236" customFormat="false" ht="15" hidden="false" customHeight="false" outlineLevel="0" collapsed="false">
      <c r="A236" s="12"/>
      <c r="B236" s="13"/>
      <c r="C236" s="13"/>
      <c r="D236" s="13"/>
      <c r="E236" s="7" t="str">
        <f aca="false">IF(D236="","",IFERROR(INDEX(Materiali!$B:$B,MATCH(D236,Materiali!$A:$A,0)),"codice?"))</f>
        <v/>
      </c>
      <c r="F236" s="13"/>
      <c r="G236" s="13"/>
      <c r="H236" s="9" t="str">
        <f aca="false">IF(D236="","",IFERROR(INDEX(Materiali!$C:$C,MATCH(D236,Materiali!$A:$A,0)),0))</f>
        <v/>
      </c>
      <c r="I236" s="9" t="str">
        <f aca="false">IF(OR(G236="",H236=""),"",IF(F236="Uscita",-1,1)*G236*H236)</f>
        <v/>
      </c>
      <c r="J236" s="13"/>
      <c r="K236" s="13"/>
    </row>
    <row r="237" customFormat="false" ht="15" hidden="false" customHeight="false" outlineLevel="0" collapsed="false">
      <c r="A237" s="12"/>
      <c r="B237" s="13"/>
      <c r="C237" s="13"/>
      <c r="D237" s="13"/>
      <c r="E237" s="7" t="str">
        <f aca="false">IF(D237="","",IFERROR(INDEX(Materiali!$B:$B,MATCH(D237,Materiali!$A:$A,0)),"codice?"))</f>
        <v/>
      </c>
      <c r="F237" s="13"/>
      <c r="G237" s="13"/>
      <c r="H237" s="9" t="str">
        <f aca="false">IF(D237="","",IFERROR(INDEX(Materiali!$C:$C,MATCH(D237,Materiali!$A:$A,0)),0))</f>
        <v/>
      </c>
      <c r="I237" s="9" t="str">
        <f aca="false">IF(OR(G237="",H237=""),"",IF(F237="Uscita",-1,1)*G237*H237)</f>
        <v/>
      </c>
      <c r="J237" s="13"/>
      <c r="K237" s="13"/>
    </row>
    <row r="238" customFormat="false" ht="15" hidden="false" customHeight="false" outlineLevel="0" collapsed="false">
      <c r="A238" s="12"/>
      <c r="B238" s="13"/>
      <c r="C238" s="13"/>
      <c r="D238" s="13"/>
      <c r="E238" s="7" t="str">
        <f aca="false">IF(D238="","",IFERROR(INDEX(Materiali!$B:$B,MATCH(D238,Materiali!$A:$A,0)),"codice?"))</f>
        <v/>
      </c>
      <c r="F238" s="13"/>
      <c r="G238" s="13"/>
      <c r="H238" s="9" t="str">
        <f aca="false">IF(D238="","",IFERROR(INDEX(Materiali!$C:$C,MATCH(D238,Materiali!$A:$A,0)),0))</f>
        <v/>
      </c>
      <c r="I238" s="9" t="str">
        <f aca="false">IF(OR(G238="",H238=""),"",IF(F238="Uscita",-1,1)*G238*H238)</f>
        <v/>
      </c>
      <c r="J238" s="13"/>
      <c r="K238" s="13"/>
    </row>
    <row r="239" customFormat="false" ht="15" hidden="false" customHeight="false" outlineLevel="0" collapsed="false">
      <c r="A239" s="12"/>
      <c r="B239" s="13"/>
      <c r="C239" s="13"/>
      <c r="D239" s="13"/>
      <c r="E239" s="7" t="str">
        <f aca="false">IF(D239="","",IFERROR(INDEX(Materiali!$B:$B,MATCH(D239,Materiali!$A:$A,0)),"codice?"))</f>
        <v/>
      </c>
      <c r="F239" s="13"/>
      <c r="G239" s="13"/>
      <c r="H239" s="9" t="str">
        <f aca="false">IF(D239="","",IFERROR(INDEX(Materiali!$C:$C,MATCH(D239,Materiali!$A:$A,0)),0))</f>
        <v/>
      </c>
      <c r="I239" s="9" t="str">
        <f aca="false">IF(OR(G239="",H239=""),"",IF(F239="Uscita",-1,1)*G239*H239)</f>
        <v/>
      </c>
      <c r="J239" s="13"/>
      <c r="K239" s="13"/>
    </row>
    <row r="240" customFormat="false" ht="15" hidden="false" customHeight="false" outlineLevel="0" collapsed="false">
      <c r="A240" s="12"/>
      <c r="B240" s="13"/>
      <c r="C240" s="13"/>
      <c r="D240" s="13"/>
      <c r="E240" s="7" t="str">
        <f aca="false">IF(D240="","",IFERROR(INDEX(Materiali!$B:$B,MATCH(D240,Materiali!$A:$A,0)),"codice?"))</f>
        <v/>
      </c>
      <c r="F240" s="13"/>
      <c r="G240" s="13"/>
      <c r="H240" s="9" t="str">
        <f aca="false">IF(D240="","",IFERROR(INDEX(Materiali!$C:$C,MATCH(D240,Materiali!$A:$A,0)),0))</f>
        <v/>
      </c>
      <c r="I240" s="9" t="str">
        <f aca="false">IF(OR(G240="",H240=""),"",IF(F240="Uscita",-1,1)*G240*H240)</f>
        <v/>
      </c>
      <c r="J240" s="13"/>
      <c r="K240" s="13"/>
    </row>
    <row r="241" customFormat="false" ht="15" hidden="false" customHeight="false" outlineLevel="0" collapsed="false">
      <c r="A241" s="12"/>
      <c r="B241" s="13"/>
      <c r="C241" s="13"/>
      <c r="D241" s="13"/>
      <c r="E241" s="7" t="str">
        <f aca="false">IF(D241="","",IFERROR(INDEX(Materiali!$B:$B,MATCH(D241,Materiali!$A:$A,0)),"codice?"))</f>
        <v/>
      </c>
      <c r="F241" s="13"/>
      <c r="G241" s="13"/>
      <c r="H241" s="9" t="str">
        <f aca="false">IF(D241="","",IFERROR(INDEX(Materiali!$C:$C,MATCH(D241,Materiali!$A:$A,0)),0))</f>
        <v/>
      </c>
      <c r="I241" s="9" t="str">
        <f aca="false">IF(OR(G241="",H241=""),"",IF(F241="Uscita",-1,1)*G241*H241)</f>
        <v/>
      </c>
      <c r="J241" s="13"/>
      <c r="K241" s="13"/>
    </row>
    <row r="242" customFormat="false" ht="15" hidden="false" customHeight="false" outlineLevel="0" collapsed="false">
      <c r="A242" s="12"/>
      <c r="B242" s="13"/>
      <c r="C242" s="13"/>
      <c r="D242" s="13"/>
      <c r="E242" s="7" t="str">
        <f aca="false">IF(D242="","",IFERROR(INDEX(Materiali!$B:$B,MATCH(D242,Materiali!$A:$A,0)),"codice?"))</f>
        <v/>
      </c>
      <c r="F242" s="13"/>
      <c r="G242" s="13"/>
      <c r="H242" s="9" t="str">
        <f aca="false">IF(D242="","",IFERROR(INDEX(Materiali!$C:$C,MATCH(D242,Materiali!$A:$A,0)),0))</f>
        <v/>
      </c>
      <c r="I242" s="9" t="str">
        <f aca="false">IF(OR(G242="",H242=""),"",IF(F242="Uscita",-1,1)*G242*H242)</f>
        <v/>
      </c>
      <c r="J242" s="13"/>
      <c r="K242" s="13"/>
    </row>
    <row r="243" customFormat="false" ht="15" hidden="false" customHeight="false" outlineLevel="0" collapsed="false">
      <c r="A243" s="12"/>
      <c r="B243" s="13"/>
      <c r="C243" s="13"/>
      <c r="D243" s="13"/>
      <c r="E243" s="7" t="str">
        <f aca="false">IF(D243="","",IFERROR(INDEX(Materiali!$B:$B,MATCH(D243,Materiali!$A:$A,0)),"codice?"))</f>
        <v/>
      </c>
      <c r="F243" s="13"/>
      <c r="G243" s="13"/>
      <c r="H243" s="9" t="str">
        <f aca="false">IF(D243="","",IFERROR(INDEX(Materiali!$C:$C,MATCH(D243,Materiali!$A:$A,0)),0))</f>
        <v/>
      </c>
      <c r="I243" s="9" t="str">
        <f aca="false">IF(OR(G243="",H243=""),"",IF(F243="Uscita",-1,1)*G243*H243)</f>
        <v/>
      </c>
      <c r="J243" s="13"/>
      <c r="K243" s="13"/>
    </row>
    <row r="244" customFormat="false" ht="15" hidden="false" customHeight="false" outlineLevel="0" collapsed="false">
      <c r="A244" s="12"/>
      <c r="B244" s="13"/>
      <c r="C244" s="13"/>
      <c r="D244" s="13"/>
      <c r="E244" s="7" t="str">
        <f aca="false">IF(D244="","",IFERROR(INDEX(Materiali!$B:$B,MATCH(D244,Materiali!$A:$A,0)),"codice?"))</f>
        <v/>
      </c>
      <c r="F244" s="13"/>
      <c r="G244" s="13"/>
      <c r="H244" s="9" t="str">
        <f aca="false">IF(D244="","",IFERROR(INDEX(Materiali!$C:$C,MATCH(D244,Materiali!$A:$A,0)),0))</f>
        <v/>
      </c>
      <c r="I244" s="9" t="str">
        <f aca="false">IF(OR(G244="",H244=""),"",IF(F244="Uscita",-1,1)*G244*H244)</f>
        <v/>
      </c>
      <c r="J244" s="13"/>
      <c r="K244" s="13"/>
    </row>
    <row r="245" customFormat="false" ht="15" hidden="false" customHeight="false" outlineLevel="0" collapsed="false">
      <c r="A245" s="12"/>
      <c r="B245" s="13"/>
      <c r="C245" s="13"/>
      <c r="D245" s="13"/>
      <c r="E245" s="7" t="str">
        <f aca="false">IF(D245="","",IFERROR(INDEX(Materiali!$B:$B,MATCH(D245,Materiali!$A:$A,0)),"codice?"))</f>
        <v/>
      </c>
      <c r="F245" s="13"/>
      <c r="G245" s="13"/>
      <c r="H245" s="9" t="str">
        <f aca="false">IF(D245="","",IFERROR(INDEX(Materiali!$C:$C,MATCH(D245,Materiali!$A:$A,0)),0))</f>
        <v/>
      </c>
      <c r="I245" s="9" t="str">
        <f aca="false">IF(OR(G245="",H245=""),"",IF(F245="Uscita",-1,1)*G245*H245)</f>
        <v/>
      </c>
      <c r="J245" s="13"/>
      <c r="K245" s="13"/>
    </row>
    <row r="246" customFormat="false" ht="15" hidden="false" customHeight="false" outlineLevel="0" collapsed="false">
      <c r="A246" s="12"/>
      <c r="B246" s="13"/>
      <c r="C246" s="13"/>
      <c r="D246" s="13"/>
      <c r="E246" s="7" t="str">
        <f aca="false">IF(D246="","",IFERROR(INDEX(Materiali!$B:$B,MATCH(D246,Materiali!$A:$A,0)),"codice?"))</f>
        <v/>
      </c>
      <c r="F246" s="13"/>
      <c r="G246" s="13"/>
      <c r="H246" s="9" t="str">
        <f aca="false">IF(D246="","",IFERROR(INDEX(Materiali!$C:$C,MATCH(D246,Materiali!$A:$A,0)),0))</f>
        <v/>
      </c>
      <c r="I246" s="9" t="str">
        <f aca="false">IF(OR(G246="",H246=""),"",IF(F246="Uscita",-1,1)*G246*H246)</f>
        <v/>
      </c>
      <c r="J246" s="13"/>
      <c r="K246" s="13"/>
    </row>
    <row r="247" customFormat="false" ht="15" hidden="false" customHeight="false" outlineLevel="0" collapsed="false">
      <c r="A247" s="12"/>
      <c r="B247" s="13"/>
      <c r="C247" s="13"/>
      <c r="D247" s="13"/>
      <c r="E247" s="7" t="str">
        <f aca="false">IF(D247="","",IFERROR(INDEX(Materiali!$B:$B,MATCH(D247,Materiali!$A:$A,0)),"codice?"))</f>
        <v/>
      </c>
      <c r="F247" s="13"/>
      <c r="G247" s="13"/>
      <c r="H247" s="9" t="str">
        <f aca="false">IF(D247="","",IFERROR(INDEX(Materiali!$C:$C,MATCH(D247,Materiali!$A:$A,0)),0))</f>
        <v/>
      </c>
      <c r="I247" s="9" t="str">
        <f aca="false">IF(OR(G247="",H247=""),"",IF(F247="Uscita",-1,1)*G247*H247)</f>
        <v/>
      </c>
      <c r="J247" s="13"/>
      <c r="K247" s="13"/>
    </row>
    <row r="248" customFormat="false" ht="15" hidden="false" customHeight="false" outlineLevel="0" collapsed="false">
      <c r="A248" s="12"/>
      <c r="B248" s="13"/>
      <c r="C248" s="13"/>
      <c r="D248" s="13"/>
      <c r="E248" s="7" t="str">
        <f aca="false">IF(D248="","",IFERROR(INDEX(Materiali!$B:$B,MATCH(D248,Materiali!$A:$A,0)),"codice?"))</f>
        <v/>
      </c>
      <c r="F248" s="13"/>
      <c r="G248" s="13"/>
      <c r="H248" s="9" t="str">
        <f aca="false">IF(D248="","",IFERROR(INDEX(Materiali!$C:$C,MATCH(D248,Materiali!$A:$A,0)),0))</f>
        <v/>
      </c>
      <c r="I248" s="9" t="str">
        <f aca="false">IF(OR(G248="",H248=""),"",IF(F248="Uscita",-1,1)*G248*H248)</f>
        <v/>
      </c>
      <c r="J248" s="13"/>
      <c r="K248" s="13"/>
    </row>
    <row r="249" customFormat="false" ht="15" hidden="false" customHeight="false" outlineLevel="0" collapsed="false">
      <c r="A249" s="12"/>
      <c r="B249" s="13"/>
      <c r="C249" s="13"/>
      <c r="D249" s="13"/>
      <c r="E249" s="7" t="str">
        <f aca="false">IF(D249="","",IFERROR(INDEX(Materiali!$B:$B,MATCH(D249,Materiali!$A:$A,0)),"codice?"))</f>
        <v/>
      </c>
      <c r="F249" s="13"/>
      <c r="G249" s="13"/>
      <c r="H249" s="9" t="str">
        <f aca="false">IF(D249="","",IFERROR(INDEX(Materiali!$C:$C,MATCH(D249,Materiali!$A:$A,0)),0))</f>
        <v/>
      </c>
      <c r="I249" s="9" t="str">
        <f aca="false">IF(OR(G249="",H249=""),"",IF(F249="Uscita",-1,1)*G249*H249)</f>
        <v/>
      </c>
      <c r="J249" s="13"/>
      <c r="K249" s="13"/>
    </row>
    <row r="250" customFormat="false" ht="15" hidden="false" customHeight="false" outlineLevel="0" collapsed="false">
      <c r="A250" s="12"/>
      <c r="B250" s="13"/>
      <c r="C250" s="13"/>
      <c r="D250" s="13"/>
      <c r="E250" s="7" t="str">
        <f aca="false">IF(D250="","",IFERROR(INDEX(Materiali!$B:$B,MATCH(D250,Materiali!$A:$A,0)),"codice?"))</f>
        <v/>
      </c>
      <c r="F250" s="13"/>
      <c r="G250" s="13"/>
      <c r="H250" s="9" t="str">
        <f aca="false">IF(D250="","",IFERROR(INDEX(Materiali!$C:$C,MATCH(D250,Materiali!$A:$A,0)),0))</f>
        <v/>
      </c>
      <c r="I250" s="9" t="str">
        <f aca="false">IF(OR(G250="",H250=""),"",IF(F250="Uscita",-1,1)*G250*H250)</f>
        <v/>
      </c>
      <c r="J250" s="13"/>
      <c r="K250" s="13"/>
    </row>
    <row r="251" customFormat="false" ht="15" hidden="false" customHeight="false" outlineLevel="0" collapsed="false">
      <c r="A251" s="12"/>
      <c r="B251" s="13"/>
      <c r="C251" s="13"/>
      <c r="D251" s="13"/>
      <c r="E251" s="7" t="str">
        <f aca="false">IF(D251="","",IFERROR(INDEX(Materiali!$B:$B,MATCH(D251,Materiali!$A:$A,0)),"codice?"))</f>
        <v/>
      </c>
      <c r="F251" s="13"/>
      <c r="G251" s="13"/>
      <c r="H251" s="9" t="str">
        <f aca="false">IF(D251="","",IFERROR(INDEX(Materiali!$C:$C,MATCH(D251,Materiali!$A:$A,0)),0))</f>
        <v/>
      </c>
      <c r="I251" s="9" t="str">
        <f aca="false">IF(OR(G251="",H251=""),"",IF(F251="Uscita",-1,1)*G251*H251)</f>
        <v/>
      </c>
      <c r="J251" s="13"/>
      <c r="K251" s="13"/>
    </row>
    <row r="252" customFormat="false" ht="15" hidden="false" customHeight="false" outlineLevel="0" collapsed="false">
      <c r="A252" s="12"/>
      <c r="B252" s="13"/>
      <c r="C252" s="13"/>
      <c r="D252" s="13"/>
      <c r="E252" s="7" t="str">
        <f aca="false">IF(D252="","",IFERROR(INDEX(Materiali!$B:$B,MATCH(D252,Materiali!$A:$A,0)),"codice?"))</f>
        <v/>
      </c>
      <c r="F252" s="13"/>
      <c r="G252" s="13"/>
      <c r="H252" s="9" t="str">
        <f aca="false">IF(D252="","",IFERROR(INDEX(Materiali!$C:$C,MATCH(D252,Materiali!$A:$A,0)),0))</f>
        <v/>
      </c>
      <c r="I252" s="9" t="str">
        <f aca="false">IF(OR(G252="",H252=""),"",IF(F252="Uscita",-1,1)*G252*H252)</f>
        <v/>
      </c>
      <c r="J252" s="13"/>
      <c r="K252" s="13"/>
    </row>
    <row r="253" customFormat="false" ht="15" hidden="false" customHeight="false" outlineLevel="0" collapsed="false">
      <c r="A253" s="12"/>
      <c r="B253" s="13"/>
      <c r="C253" s="13"/>
      <c r="D253" s="13"/>
      <c r="E253" s="7" t="str">
        <f aca="false">IF(D253="","",IFERROR(INDEX(Materiali!$B:$B,MATCH(D253,Materiali!$A:$A,0)),"codice?"))</f>
        <v/>
      </c>
      <c r="F253" s="13"/>
      <c r="G253" s="13"/>
      <c r="H253" s="9" t="str">
        <f aca="false">IF(D253="","",IFERROR(INDEX(Materiali!$C:$C,MATCH(D253,Materiali!$A:$A,0)),0))</f>
        <v/>
      </c>
      <c r="I253" s="9" t="str">
        <f aca="false">IF(OR(G253="",H253=""),"",IF(F253="Uscita",-1,1)*G253*H253)</f>
        <v/>
      </c>
      <c r="J253" s="13"/>
      <c r="K253" s="13"/>
    </row>
    <row r="254" customFormat="false" ht="15" hidden="false" customHeight="false" outlineLevel="0" collapsed="false">
      <c r="A254" s="12"/>
      <c r="B254" s="13"/>
      <c r="C254" s="13"/>
      <c r="D254" s="13"/>
      <c r="E254" s="7" t="str">
        <f aca="false">IF(D254="","",IFERROR(INDEX(Materiali!$B:$B,MATCH(D254,Materiali!$A:$A,0)),"codice?"))</f>
        <v/>
      </c>
      <c r="F254" s="13"/>
      <c r="G254" s="13"/>
      <c r="H254" s="9" t="str">
        <f aca="false">IF(D254="","",IFERROR(INDEX(Materiali!$C:$C,MATCH(D254,Materiali!$A:$A,0)),0))</f>
        <v/>
      </c>
      <c r="I254" s="9" t="str">
        <f aca="false">IF(OR(G254="",H254=""),"",IF(F254="Uscita",-1,1)*G254*H254)</f>
        <v/>
      </c>
      <c r="J254" s="13"/>
      <c r="K254" s="13"/>
    </row>
    <row r="255" customFormat="false" ht="15" hidden="false" customHeight="false" outlineLevel="0" collapsed="false">
      <c r="A255" s="12"/>
      <c r="B255" s="13"/>
      <c r="C255" s="13"/>
      <c r="D255" s="13"/>
      <c r="E255" s="7" t="str">
        <f aca="false">IF(D255="","",IFERROR(INDEX(Materiali!$B:$B,MATCH(D255,Materiali!$A:$A,0)),"codice?"))</f>
        <v/>
      </c>
      <c r="F255" s="13"/>
      <c r="G255" s="13"/>
      <c r="H255" s="9" t="str">
        <f aca="false">IF(D255="","",IFERROR(INDEX(Materiali!$C:$C,MATCH(D255,Materiali!$A:$A,0)),0))</f>
        <v/>
      </c>
      <c r="I255" s="9" t="str">
        <f aca="false">IF(OR(G255="",H255=""),"",IF(F255="Uscita",-1,1)*G255*H255)</f>
        <v/>
      </c>
      <c r="J255" s="13"/>
      <c r="K255" s="13"/>
    </row>
    <row r="256" customFormat="false" ht="15" hidden="false" customHeight="false" outlineLevel="0" collapsed="false">
      <c r="A256" s="12"/>
      <c r="B256" s="13"/>
      <c r="C256" s="13"/>
      <c r="D256" s="13"/>
      <c r="E256" s="7" t="str">
        <f aca="false">IF(D256="","",IFERROR(INDEX(Materiali!$B:$B,MATCH(D256,Materiali!$A:$A,0)),"codice?"))</f>
        <v/>
      </c>
      <c r="F256" s="13"/>
      <c r="G256" s="13"/>
      <c r="H256" s="9" t="str">
        <f aca="false">IF(D256="","",IFERROR(INDEX(Materiali!$C:$C,MATCH(D256,Materiali!$A:$A,0)),0))</f>
        <v/>
      </c>
      <c r="I256" s="9" t="str">
        <f aca="false">IF(OR(G256="",H256=""),"",IF(F256="Uscita",-1,1)*G256*H256)</f>
        <v/>
      </c>
      <c r="J256" s="13"/>
      <c r="K256" s="13"/>
    </row>
    <row r="257" customFormat="false" ht="15" hidden="false" customHeight="false" outlineLevel="0" collapsed="false">
      <c r="A257" s="12"/>
      <c r="B257" s="13"/>
      <c r="C257" s="13"/>
      <c r="D257" s="13"/>
      <c r="E257" s="7" t="str">
        <f aca="false">IF(D257="","",IFERROR(INDEX(Materiali!$B:$B,MATCH(D257,Materiali!$A:$A,0)),"codice?"))</f>
        <v/>
      </c>
      <c r="F257" s="13"/>
      <c r="G257" s="13"/>
      <c r="H257" s="9" t="str">
        <f aca="false">IF(D257="","",IFERROR(INDEX(Materiali!$C:$C,MATCH(D257,Materiali!$A:$A,0)),0))</f>
        <v/>
      </c>
      <c r="I257" s="9" t="str">
        <f aca="false">IF(OR(G257="",H257=""),"",IF(F257="Uscita",-1,1)*G257*H257)</f>
        <v/>
      </c>
      <c r="J257" s="13"/>
      <c r="K257" s="13"/>
    </row>
    <row r="258" customFormat="false" ht="15" hidden="false" customHeight="false" outlineLevel="0" collapsed="false">
      <c r="A258" s="12"/>
      <c r="B258" s="13"/>
      <c r="C258" s="13"/>
      <c r="D258" s="13"/>
      <c r="E258" s="7" t="str">
        <f aca="false">IF(D258="","",IFERROR(INDEX(Materiali!$B:$B,MATCH(D258,Materiali!$A:$A,0)),"codice?"))</f>
        <v/>
      </c>
      <c r="F258" s="13"/>
      <c r="G258" s="13"/>
      <c r="H258" s="9" t="str">
        <f aca="false">IF(D258="","",IFERROR(INDEX(Materiali!$C:$C,MATCH(D258,Materiali!$A:$A,0)),0))</f>
        <v/>
      </c>
      <c r="I258" s="9" t="str">
        <f aca="false">IF(OR(G258="",H258=""),"",IF(F258="Uscita",-1,1)*G258*H258)</f>
        <v/>
      </c>
      <c r="J258" s="13"/>
      <c r="K258" s="13"/>
    </row>
    <row r="259" customFormat="false" ht="15" hidden="false" customHeight="false" outlineLevel="0" collapsed="false">
      <c r="A259" s="12"/>
      <c r="B259" s="13"/>
      <c r="C259" s="13"/>
      <c r="D259" s="13"/>
      <c r="E259" s="7" t="str">
        <f aca="false">IF(D259="","",IFERROR(INDEX(Materiali!$B:$B,MATCH(D259,Materiali!$A:$A,0)),"codice?"))</f>
        <v/>
      </c>
      <c r="F259" s="13"/>
      <c r="G259" s="13"/>
      <c r="H259" s="9" t="str">
        <f aca="false">IF(D259="","",IFERROR(INDEX(Materiali!$C:$C,MATCH(D259,Materiali!$A:$A,0)),0))</f>
        <v/>
      </c>
      <c r="I259" s="9" t="str">
        <f aca="false">IF(OR(G259="",H259=""),"",IF(F259="Uscita",-1,1)*G259*H259)</f>
        <v/>
      </c>
      <c r="J259" s="13"/>
      <c r="K259" s="13"/>
    </row>
    <row r="260" customFormat="false" ht="15" hidden="false" customHeight="false" outlineLevel="0" collapsed="false">
      <c r="A260" s="12"/>
      <c r="B260" s="13"/>
      <c r="C260" s="13"/>
      <c r="D260" s="13"/>
      <c r="E260" s="7" t="str">
        <f aca="false">IF(D260="","",IFERROR(INDEX(Materiali!$B:$B,MATCH(D260,Materiali!$A:$A,0)),"codice?"))</f>
        <v/>
      </c>
      <c r="F260" s="13"/>
      <c r="G260" s="13"/>
      <c r="H260" s="9" t="str">
        <f aca="false">IF(D260="","",IFERROR(INDEX(Materiali!$C:$C,MATCH(D260,Materiali!$A:$A,0)),0))</f>
        <v/>
      </c>
      <c r="I260" s="9" t="str">
        <f aca="false">IF(OR(G260="",H260=""),"",IF(F260="Uscita",-1,1)*G260*H260)</f>
        <v/>
      </c>
      <c r="J260" s="13"/>
      <c r="K260" s="13"/>
    </row>
    <row r="261" customFormat="false" ht="15" hidden="false" customHeight="false" outlineLevel="0" collapsed="false">
      <c r="A261" s="12"/>
      <c r="B261" s="13"/>
      <c r="C261" s="13"/>
      <c r="D261" s="13"/>
      <c r="E261" s="7" t="str">
        <f aca="false">IF(D261="","",IFERROR(INDEX(Materiali!$B:$B,MATCH(D261,Materiali!$A:$A,0)),"codice?"))</f>
        <v/>
      </c>
      <c r="F261" s="13"/>
      <c r="G261" s="13"/>
      <c r="H261" s="9" t="str">
        <f aca="false">IF(D261="","",IFERROR(INDEX(Materiali!$C:$C,MATCH(D261,Materiali!$A:$A,0)),0))</f>
        <v/>
      </c>
      <c r="I261" s="9" t="str">
        <f aca="false">IF(OR(G261="",H261=""),"",IF(F261="Uscita",-1,1)*G261*H261)</f>
        <v/>
      </c>
      <c r="J261" s="13"/>
      <c r="K261" s="13"/>
    </row>
    <row r="262" customFormat="false" ht="15" hidden="false" customHeight="false" outlineLevel="0" collapsed="false">
      <c r="A262" s="12"/>
      <c r="B262" s="13"/>
      <c r="C262" s="13"/>
      <c r="D262" s="13"/>
      <c r="E262" s="7" t="str">
        <f aca="false">IF(D262="","",IFERROR(INDEX(Materiali!$B:$B,MATCH(D262,Materiali!$A:$A,0)),"codice?"))</f>
        <v/>
      </c>
      <c r="F262" s="13"/>
      <c r="G262" s="13"/>
      <c r="H262" s="9" t="str">
        <f aca="false">IF(D262="","",IFERROR(INDEX(Materiali!$C:$C,MATCH(D262,Materiali!$A:$A,0)),0))</f>
        <v/>
      </c>
      <c r="I262" s="9" t="str">
        <f aca="false">IF(OR(G262="",H262=""),"",IF(F262="Uscita",-1,1)*G262*H262)</f>
        <v/>
      </c>
      <c r="J262" s="13"/>
      <c r="K262" s="13"/>
    </row>
    <row r="263" customFormat="false" ht="15" hidden="false" customHeight="false" outlineLevel="0" collapsed="false">
      <c r="A263" s="12"/>
      <c r="B263" s="13"/>
      <c r="C263" s="13"/>
      <c r="D263" s="13"/>
      <c r="E263" s="7" t="str">
        <f aca="false">IF(D263="","",IFERROR(INDEX(Materiali!$B:$B,MATCH(D263,Materiali!$A:$A,0)),"codice?"))</f>
        <v/>
      </c>
      <c r="F263" s="13"/>
      <c r="G263" s="13"/>
      <c r="H263" s="9" t="str">
        <f aca="false">IF(D263="","",IFERROR(INDEX(Materiali!$C:$C,MATCH(D263,Materiali!$A:$A,0)),0))</f>
        <v/>
      </c>
      <c r="I263" s="9" t="str">
        <f aca="false">IF(OR(G263="",H263=""),"",IF(F263="Uscita",-1,1)*G263*H263)</f>
        <v/>
      </c>
      <c r="J263" s="13"/>
      <c r="K263" s="13"/>
    </row>
    <row r="264" customFormat="false" ht="15" hidden="false" customHeight="false" outlineLevel="0" collapsed="false">
      <c r="A264" s="12"/>
      <c r="B264" s="13"/>
      <c r="C264" s="13"/>
      <c r="D264" s="13"/>
      <c r="E264" s="7" t="str">
        <f aca="false">IF(D264="","",IFERROR(INDEX(Materiali!$B:$B,MATCH(D264,Materiali!$A:$A,0)),"codice?"))</f>
        <v/>
      </c>
      <c r="F264" s="13"/>
      <c r="G264" s="13"/>
      <c r="H264" s="9" t="str">
        <f aca="false">IF(D264="","",IFERROR(INDEX(Materiali!$C:$C,MATCH(D264,Materiali!$A:$A,0)),0))</f>
        <v/>
      </c>
      <c r="I264" s="9" t="str">
        <f aca="false">IF(OR(G264="",H264=""),"",IF(F264="Uscita",-1,1)*G264*H264)</f>
        <v/>
      </c>
      <c r="J264" s="13"/>
      <c r="K264" s="13"/>
    </row>
    <row r="265" customFormat="false" ht="15" hidden="false" customHeight="false" outlineLevel="0" collapsed="false">
      <c r="A265" s="12"/>
      <c r="B265" s="13"/>
      <c r="C265" s="13"/>
      <c r="D265" s="13"/>
      <c r="E265" s="7" t="str">
        <f aca="false">IF(D265="","",IFERROR(INDEX(Materiali!$B:$B,MATCH(D265,Materiali!$A:$A,0)),"codice?"))</f>
        <v/>
      </c>
      <c r="F265" s="13"/>
      <c r="G265" s="13"/>
      <c r="H265" s="9" t="str">
        <f aca="false">IF(D265="","",IFERROR(INDEX(Materiali!$C:$C,MATCH(D265,Materiali!$A:$A,0)),0))</f>
        <v/>
      </c>
      <c r="I265" s="9" t="str">
        <f aca="false">IF(OR(G265="",H265=""),"",IF(F265="Uscita",-1,1)*G265*H265)</f>
        <v/>
      </c>
      <c r="J265" s="13"/>
      <c r="K265" s="13"/>
    </row>
    <row r="266" customFormat="false" ht="15" hidden="false" customHeight="false" outlineLevel="0" collapsed="false">
      <c r="A266" s="12"/>
      <c r="B266" s="13"/>
      <c r="C266" s="13"/>
      <c r="D266" s="13"/>
      <c r="E266" s="7" t="str">
        <f aca="false">IF(D266="","",IFERROR(INDEX(Materiali!$B:$B,MATCH(D266,Materiali!$A:$A,0)),"codice?"))</f>
        <v/>
      </c>
      <c r="F266" s="13"/>
      <c r="G266" s="13"/>
      <c r="H266" s="9" t="str">
        <f aca="false">IF(D266="","",IFERROR(INDEX(Materiali!$C:$C,MATCH(D266,Materiali!$A:$A,0)),0))</f>
        <v/>
      </c>
      <c r="I266" s="9" t="str">
        <f aca="false">IF(OR(G266="",H266=""),"",IF(F266="Uscita",-1,1)*G266*H266)</f>
        <v/>
      </c>
      <c r="J266" s="13"/>
      <c r="K266" s="13"/>
    </row>
    <row r="267" customFormat="false" ht="15" hidden="false" customHeight="false" outlineLevel="0" collapsed="false">
      <c r="A267" s="12"/>
      <c r="B267" s="13"/>
      <c r="C267" s="13"/>
      <c r="D267" s="13"/>
      <c r="E267" s="7" t="str">
        <f aca="false">IF(D267="","",IFERROR(INDEX(Materiali!$B:$B,MATCH(D267,Materiali!$A:$A,0)),"codice?"))</f>
        <v/>
      </c>
      <c r="F267" s="13"/>
      <c r="G267" s="13"/>
      <c r="H267" s="9" t="str">
        <f aca="false">IF(D267="","",IFERROR(INDEX(Materiali!$C:$C,MATCH(D267,Materiali!$A:$A,0)),0))</f>
        <v/>
      </c>
      <c r="I267" s="9" t="str">
        <f aca="false">IF(OR(G267="",H267=""),"",IF(F267="Uscita",-1,1)*G267*H267)</f>
        <v/>
      </c>
      <c r="J267" s="13"/>
      <c r="K267" s="13"/>
    </row>
    <row r="268" customFormat="false" ht="15" hidden="false" customHeight="false" outlineLevel="0" collapsed="false">
      <c r="A268" s="12"/>
      <c r="B268" s="13"/>
      <c r="C268" s="13"/>
      <c r="D268" s="13"/>
      <c r="E268" s="7" t="str">
        <f aca="false">IF(D268="","",IFERROR(INDEX(Materiali!$B:$B,MATCH(D268,Materiali!$A:$A,0)),"codice?"))</f>
        <v/>
      </c>
      <c r="F268" s="13"/>
      <c r="G268" s="13"/>
      <c r="H268" s="9" t="str">
        <f aca="false">IF(D268="","",IFERROR(INDEX(Materiali!$C:$C,MATCH(D268,Materiali!$A:$A,0)),0))</f>
        <v/>
      </c>
      <c r="I268" s="9" t="str">
        <f aca="false">IF(OR(G268="",H268=""),"",IF(F268="Uscita",-1,1)*G268*H268)</f>
        <v/>
      </c>
      <c r="J268" s="13"/>
      <c r="K268" s="13"/>
    </row>
    <row r="269" customFormat="false" ht="15" hidden="false" customHeight="false" outlineLevel="0" collapsed="false">
      <c r="A269" s="12"/>
      <c r="B269" s="13"/>
      <c r="C269" s="13"/>
      <c r="D269" s="13"/>
      <c r="E269" s="7" t="str">
        <f aca="false">IF(D269="","",IFERROR(INDEX(Materiali!$B:$B,MATCH(D269,Materiali!$A:$A,0)),"codice?"))</f>
        <v/>
      </c>
      <c r="F269" s="13"/>
      <c r="G269" s="13"/>
      <c r="H269" s="9" t="str">
        <f aca="false">IF(D269="","",IFERROR(INDEX(Materiali!$C:$C,MATCH(D269,Materiali!$A:$A,0)),0))</f>
        <v/>
      </c>
      <c r="I269" s="9" t="str">
        <f aca="false">IF(OR(G269="",H269=""),"",IF(F269="Uscita",-1,1)*G269*H269)</f>
        <v/>
      </c>
      <c r="J269" s="13"/>
      <c r="K269" s="13"/>
    </row>
    <row r="270" customFormat="false" ht="15" hidden="false" customHeight="false" outlineLevel="0" collapsed="false">
      <c r="A270" s="12"/>
      <c r="B270" s="13"/>
      <c r="C270" s="13"/>
      <c r="D270" s="13"/>
      <c r="E270" s="7" t="str">
        <f aca="false">IF(D270="","",IFERROR(INDEX(Materiali!$B:$B,MATCH(D270,Materiali!$A:$A,0)),"codice?"))</f>
        <v/>
      </c>
      <c r="F270" s="13"/>
      <c r="G270" s="13"/>
      <c r="H270" s="9" t="str">
        <f aca="false">IF(D270="","",IFERROR(INDEX(Materiali!$C:$C,MATCH(D270,Materiali!$A:$A,0)),0))</f>
        <v/>
      </c>
      <c r="I270" s="9" t="str">
        <f aca="false">IF(OR(G270="",H270=""),"",IF(F270="Uscita",-1,1)*G270*H270)</f>
        <v/>
      </c>
      <c r="J270" s="13"/>
      <c r="K270" s="13"/>
    </row>
    <row r="271" customFormat="false" ht="15" hidden="false" customHeight="false" outlineLevel="0" collapsed="false">
      <c r="A271" s="12"/>
      <c r="B271" s="13"/>
      <c r="C271" s="13"/>
      <c r="D271" s="13"/>
      <c r="E271" s="7" t="str">
        <f aca="false">IF(D271="","",IFERROR(INDEX(Materiali!$B:$B,MATCH(D271,Materiali!$A:$A,0)),"codice?"))</f>
        <v/>
      </c>
      <c r="F271" s="13"/>
      <c r="G271" s="13"/>
      <c r="H271" s="9" t="str">
        <f aca="false">IF(D271="","",IFERROR(INDEX(Materiali!$C:$C,MATCH(D271,Materiali!$A:$A,0)),0))</f>
        <v/>
      </c>
      <c r="I271" s="9" t="str">
        <f aca="false">IF(OR(G271="",H271=""),"",IF(F271="Uscita",-1,1)*G271*H271)</f>
        <v/>
      </c>
      <c r="J271" s="13"/>
      <c r="K271" s="13"/>
    </row>
    <row r="272" customFormat="false" ht="15" hidden="false" customHeight="false" outlineLevel="0" collapsed="false">
      <c r="A272" s="12"/>
      <c r="B272" s="13"/>
      <c r="C272" s="13"/>
      <c r="D272" s="13"/>
      <c r="E272" s="7" t="str">
        <f aca="false">IF(D272="","",IFERROR(INDEX(Materiali!$B:$B,MATCH(D272,Materiali!$A:$A,0)),"codice?"))</f>
        <v/>
      </c>
      <c r="F272" s="13"/>
      <c r="G272" s="13"/>
      <c r="H272" s="9" t="str">
        <f aca="false">IF(D272="","",IFERROR(INDEX(Materiali!$C:$C,MATCH(D272,Materiali!$A:$A,0)),0))</f>
        <v/>
      </c>
      <c r="I272" s="9" t="str">
        <f aca="false">IF(OR(G272="",H272=""),"",IF(F272="Uscita",-1,1)*G272*H272)</f>
        <v/>
      </c>
      <c r="J272" s="13"/>
      <c r="K272" s="13"/>
    </row>
    <row r="273" customFormat="false" ht="15" hidden="false" customHeight="false" outlineLevel="0" collapsed="false">
      <c r="A273" s="12"/>
      <c r="B273" s="13"/>
      <c r="C273" s="13"/>
      <c r="D273" s="13"/>
      <c r="E273" s="7" t="str">
        <f aca="false">IF(D273="","",IFERROR(INDEX(Materiali!$B:$B,MATCH(D273,Materiali!$A:$A,0)),"codice?"))</f>
        <v/>
      </c>
      <c r="F273" s="13"/>
      <c r="G273" s="13"/>
      <c r="H273" s="9" t="str">
        <f aca="false">IF(D273="","",IFERROR(INDEX(Materiali!$C:$C,MATCH(D273,Materiali!$A:$A,0)),0))</f>
        <v/>
      </c>
      <c r="I273" s="9" t="str">
        <f aca="false">IF(OR(G273="",H273=""),"",IF(F273="Uscita",-1,1)*G273*H273)</f>
        <v/>
      </c>
      <c r="J273" s="13"/>
      <c r="K273" s="13"/>
    </row>
    <row r="274" customFormat="false" ht="15" hidden="false" customHeight="false" outlineLevel="0" collapsed="false">
      <c r="A274" s="12"/>
      <c r="B274" s="13"/>
      <c r="C274" s="13"/>
      <c r="D274" s="13"/>
      <c r="E274" s="7" t="str">
        <f aca="false">IF(D274="","",IFERROR(INDEX(Materiali!$B:$B,MATCH(D274,Materiali!$A:$A,0)),"codice?"))</f>
        <v/>
      </c>
      <c r="F274" s="13"/>
      <c r="G274" s="13"/>
      <c r="H274" s="9" t="str">
        <f aca="false">IF(D274="","",IFERROR(INDEX(Materiali!$C:$C,MATCH(D274,Materiali!$A:$A,0)),0))</f>
        <v/>
      </c>
      <c r="I274" s="9" t="str">
        <f aca="false">IF(OR(G274="",H274=""),"",IF(F274="Uscita",-1,1)*G274*H274)</f>
        <v/>
      </c>
      <c r="J274" s="13"/>
      <c r="K274" s="13"/>
    </row>
    <row r="275" customFormat="false" ht="15" hidden="false" customHeight="false" outlineLevel="0" collapsed="false">
      <c r="A275" s="12"/>
      <c r="B275" s="13"/>
      <c r="C275" s="13"/>
      <c r="D275" s="13"/>
      <c r="E275" s="7" t="str">
        <f aca="false">IF(D275="","",IFERROR(INDEX(Materiali!$B:$B,MATCH(D275,Materiali!$A:$A,0)),"codice?"))</f>
        <v/>
      </c>
      <c r="F275" s="13"/>
      <c r="G275" s="13"/>
      <c r="H275" s="9" t="str">
        <f aca="false">IF(D275="","",IFERROR(INDEX(Materiali!$C:$C,MATCH(D275,Materiali!$A:$A,0)),0))</f>
        <v/>
      </c>
      <c r="I275" s="9" t="str">
        <f aca="false">IF(OR(G275="",H275=""),"",IF(F275="Uscita",-1,1)*G275*H275)</f>
        <v/>
      </c>
      <c r="J275" s="13"/>
      <c r="K275" s="13"/>
    </row>
    <row r="276" customFormat="false" ht="15" hidden="false" customHeight="false" outlineLevel="0" collapsed="false">
      <c r="A276" s="12"/>
      <c r="B276" s="13"/>
      <c r="C276" s="13"/>
      <c r="D276" s="13"/>
      <c r="E276" s="7" t="str">
        <f aca="false">IF(D276="","",IFERROR(INDEX(Materiali!$B:$B,MATCH(D276,Materiali!$A:$A,0)),"codice?"))</f>
        <v/>
      </c>
      <c r="F276" s="13"/>
      <c r="G276" s="13"/>
      <c r="H276" s="9" t="str">
        <f aca="false">IF(D276="","",IFERROR(INDEX(Materiali!$C:$C,MATCH(D276,Materiali!$A:$A,0)),0))</f>
        <v/>
      </c>
      <c r="I276" s="9" t="str">
        <f aca="false">IF(OR(G276="",H276=""),"",IF(F276="Uscita",-1,1)*G276*H276)</f>
        <v/>
      </c>
      <c r="J276" s="13"/>
      <c r="K276" s="13"/>
    </row>
    <row r="277" customFormat="false" ht="15" hidden="false" customHeight="false" outlineLevel="0" collapsed="false">
      <c r="A277" s="12"/>
      <c r="B277" s="13"/>
      <c r="C277" s="13"/>
      <c r="D277" s="13"/>
      <c r="E277" s="7" t="str">
        <f aca="false">IF(D277="","",IFERROR(INDEX(Materiali!$B:$B,MATCH(D277,Materiali!$A:$A,0)),"codice?"))</f>
        <v/>
      </c>
      <c r="F277" s="13"/>
      <c r="G277" s="13"/>
      <c r="H277" s="9" t="str">
        <f aca="false">IF(D277="","",IFERROR(INDEX(Materiali!$C:$C,MATCH(D277,Materiali!$A:$A,0)),0))</f>
        <v/>
      </c>
      <c r="I277" s="9" t="str">
        <f aca="false">IF(OR(G277="",H277=""),"",IF(F277="Uscita",-1,1)*G277*H277)</f>
        <v/>
      </c>
      <c r="J277" s="13"/>
      <c r="K277" s="13"/>
    </row>
    <row r="278" customFormat="false" ht="15" hidden="false" customHeight="false" outlineLevel="0" collapsed="false">
      <c r="A278" s="12"/>
      <c r="B278" s="13"/>
      <c r="C278" s="13"/>
      <c r="D278" s="13"/>
      <c r="E278" s="7" t="str">
        <f aca="false">IF(D278="","",IFERROR(INDEX(Materiali!$B:$B,MATCH(D278,Materiali!$A:$A,0)),"codice?"))</f>
        <v/>
      </c>
      <c r="F278" s="13"/>
      <c r="G278" s="13"/>
      <c r="H278" s="9" t="str">
        <f aca="false">IF(D278="","",IFERROR(INDEX(Materiali!$C:$C,MATCH(D278,Materiali!$A:$A,0)),0))</f>
        <v/>
      </c>
      <c r="I278" s="9" t="str">
        <f aca="false">IF(OR(G278="",H278=""),"",IF(F278="Uscita",-1,1)*G278*H278)</f>
        <v/>
      </c>
      <c r="J278" s="13"/>
      <c r="K278" s="13"/>
    </row>
    <row r="279" customFormat="false" ht="15" hidden="false" customHeight="false" outlineLevel="0" collapsed="false">
      <c r="A279" s="12"/>
      <c r="B279" s="13"/>
      <c r="C279" s="13"/>
      <c r="D279" s="13"/>
      <c r="E279" s="7" t="str">
        <f aca="false">IF(D279="","",IFERROR(INDEX(Materiali!$B:$B,MATCH(D279,Materiali!$A:$A,0)),"codice?"))</f>
        <v/>
      </c>
      <c r="F279" s="13"/>
      <c r="G279" s="13"/>
      <c r="H279" s="9" t="str">
        <f aca="false">IF(D279="","",IFERROR(INDEX(Materiali!$C:$C,MATCH(D279,Materiali!$A:$A,0)),0))</f>
        <v/>
      </c>
      <c r="I279" s="9" t="str">
        <f aca="false">IF(OR(G279="",H279=""),"",IF(F279="Uscita",-1,1)*G279*H279)</f>
        <v/>
      </c>
      <c r="J279" s="13"/>
      <c r="K279" s="13"/>
    </row>
    <row r="280" customFormat="false" ht="15" hidden="false" customHeight="false" outlineLevel="0" collapsed="false">
      <c r="A280" s="12"/>
      <c r="B280" s="13"/>
      <c r="C280" s="13"/>
      <c r="D280" s="13"/>
      <c r="E280" s="7" t="str">
        <f aca="false">IF(D280="","",IFERROR(INDEX(Materiali!$B:$B,MATCH(D280,Materiali!$A:$A,0)),"codice?"))</f>
        <v/>
      </c>
      <c r="F280" s="13"/>
      <c r="G280" s="13"/>
      <c r="H280" s="9" t="str">
        <f aca="false">IF(D280="","",IFERROR(INDEX(Materiali!$C:$C,MATCH(D280,Materiali!$A:$A,0)),0))</f>
        <v/>
      </c>
      <c r="I280" s="9" t="str">
        <f aca="false">IF(OR(G280="",H280=""),"",IF(F280="Uscita",-1,1)*G280*H280)</f>
        <v/>
      </c>
      <c r="J280" s="13"/>
      <c r="K280" s="13"/>
    </row>
    <row r="281" customFormat="false" ht="15" hidden="false" customHeight="false" outlineLevel="0" collapsed="false">
      <c r="A281" s="12"/>
      <c r="B281" s="13"/>
      <c r="C281" s="13"/>
      <c r="D281" s="13"/>
      <c r="E281" s="7" t="str">
        <f aca="false">IF(D281="","",IFERROR(INDEX(Materiali!$B:$B,MATCH(D281,Materiali!$A:$A,0)),"codice?"))</f>
        <v/>
      </c>
      <c r="F281" s="13"/>
      <c r="G281" s="13"/>
      <c r="H281" s="9" t="str">
        <f aca="false">IF(D281="","",IFERROR(INDEX(Materiali!$C:$C,MATCH(D281,Materiali!$A:$A,0)),0))</f>
        <v/>
      </c>
      <c r="I281" s="9" t="str">
        <f aca="false">IF(OR(G281="",H281=""),"",IF(F281="Uscita",-1,1)*G281*H281)</f>
        <v/>
      </c>
      <c r="J281" s="13"/>
      <c r="K281" s="13"/>
    </row>
    <row r="282" customFormat="false" ht="15" hidden="false" customHeight="false" outlineLevel="0" collapsed="false">
      <c r="A282" s="12"/>
      <c r="B282" s="13"/>
      <c r="C282" s="13"/>
      <c r="D282" s="13"/>
      <c r="E282" s="7" t="str">
        <f aca="false">IF(D282="","",IFERROR(INDEX(Materiali!$B:$B,MATCH(D282,Materiali!$A:$A,0)),"codice?"))</f>
        <v/>
      </c>
      <c r="F282" s="13"/>
      <c r="G282" s="13"/>
      <c r="H282" s="9" t="str">
        <f aca="false">IF(D282="","",IFERROR(INDEX(Materiali!$C:$C,MATCH(D282,Materiali!$A:$A,0)),0))</f>
        <v/>
      </c>
      <c r="I282" s="9" t="str">
        <f aca="false">IF(OR(G282="",H282=""),"",IF(F282="Uscita",-1,1)*G282*H282)</f>
        <v/>
      </c>
      <c r="J282" s="13"/>
      <c r="K282" s="13"/>
    </row>
    <row r="283" customFormat="false" ht="15" hidden="false" customHeight="false" outlineLevel="0" collapsed="false">
      <c r="A283" s="12"/>
      <c r="B283" s="13"/>
      <c r="C283" s="13"/>
      <c r="D283" s="13"/>
      <c r="E283" s="7" t="str">
        <f aca="false">IF(D283="","",IFERROR(INDEX(Materiali!$B:$B,MATCH(D283,Materiali!$A:$A,0)),"codice?"))</f>
        <v/>
      </c>
      <c r="F283" s="13"/>
      <c r="G283" s="13"/>
      <c r="H283" s="9" t="str">
        <f aca="false">IF(D283="","",IFERROR(INDEX(Materiali!$C:$C,MATCH(D283,Materiali!$A:$A,0)),0))</f>
        <v/>
      </c>
      <c r="I283" s="9" t="str">
        <f aca="false">IF(OR(G283="",H283=""),"",IF(F283="Uscita",-1,1)*G283*H283)</f>
        <v/>
      </c>
      <c r="J283" s="13"/>
      <c r="K283" s="13"/>
    </row>
    <row r="284" customFormat="false" ht="15" hidden="false" customHeight="false" outlineLevel="0" collapsed="false">
      <c r="A284" s="12"/>
      <c r="B284" s="13"/>
      <c r="C284" s="13"/>
      <c r="D284" s="13"/>
      <c r="E284" s="7" t="str">
        <f aca="false">IF(D284="","",IFERROR(INDEX(Materiali!$B:$B,MATCH(D284,Materiali!$A:$A,0)),"codice?"))</f>
        <v/>
      </c>
      <c r="F284" s="13"/>
      <c r="G284" s="13"/>
      <c r="H284" s="9" t="str">
        <f aca="false">IF(D284="","",IFERROR(INDEX(Materiali!$C:$C,MATCH(D284,Materiali!$A:$A,0)),0))</f>
        <v/>
      </c>
      <c r="I284" s="9" t="str">
        <f aca="false">IF(OR(G284="",H284=""),"",IF(F284="Uscita",-1,1)*G284*H284)</f>
        <v/>
      </c>
      <c r="J284" s="13"/>
      <c r="K284" s="13"/>
    </row>
    <row r="285" customFormat="false" ht="15" hidden="false" customHeight="false" outlineLevel="0" collapsed="false">
      <c r="A285" s="12"/>
      <c r="B285" s="13"/>
      <c r="C285" s="13"/>
      <c r="D285" s="13"/>
      <c r="E285" s="7" t="str">
        <f aca="false">IF(D285="","",IFERROR(INDEX(Materiali!$B:$B,MATCH(D285,Materiali!$A:$A,0)),"codice?"))</f>
        <v/>
      </c>
      <c r="F285" s="13"/>
      <c r="G285" s="13"/>
      <c r="H285" s="9" t="str">
        <f aca="false">IF(D285="","",IFERROR(INDEX(Materiali!$C:$C,MATCH(D285,Materiali!$A:$A,0)),0))</f>
        <v/>
      </c>
      <c r="I285" s="9" t="str">
        <f aca="false">IF(OR(G285="",H285=""),"",IF(F285="Uscita",-1,1)*G285*H285)</f>
        <v/>
      </c>
      <c r="J285" s="13"/>
      <c r="K285" s="13"/>
    </row>
    <row r="286" customFormat="false" ht="15" hidden="false" customHeight="false" outlineLevel="0" collapsed="false">
      <c r="A286" s="12"/>
      <c r="B286" s="13"/>
      <c r="C286" s="13"/>
      <c r="D286" s="13"/>
      <c r="E286" s="7" t="str">
        <f aca="false">IF(D286="","",IFERROR(INDEX(Materiali!$B:$B,MATCH(D286,Materiali!$A:$A,0)),"codice?"))</f>
        <v/>
      </c>
      <c r="F286" s="13"/>
      <c r="G286" s="13"/>
      <c r="H286" s="9" t="str">
        <f aca="false">IF(D286="","",IFERROR(INDEX(Materiali!$C:$C,MATCH(D286,Materiali!$A:$A,0)),0))</f>
        <v/>
      </c>
      <c r="I286" s="9" t="str">
        <f aca="false">IF(OR(G286="",H286=""),"",IF(F286="Uscita",-1,1)*G286*H286)</f>
        <v/>
      </c>
      <c r="J286" s="13"/>
      <c r="K286" s="13"/>
    </row>
    <row r="287" customFormat="false" ht="15" hidden="false" customHeight="false" outlineLevel="0" collapsed="false">
      <c r="A287" s="12"/>
      <c r="B287" s="13"/>
      <c r="C287" s="13"/>
      <c r="D287" s="13"/>
      <c r="E287" s="7" t="str">
        <f aca="false">IF(D287="","",IFERROR(INDEX(Materiali!$B:$B,MATCH(D287,Materiali!$A:$A,0)),"codice?"))</f>
        <v/>
      </c>
      <c r="F287" s="13"/>
      <c r="G287" s="13"/>
      <c r="H287" s="9" t="str">
        <f aca="false">IF(D287="","",IFERROR(INDEX(Materiali!$C:$C,MATCH(D287,Materiali!$A:$A,0)),0))</f>
        <v/>
      </c>
      <c r="I287" s="9" t="str">
        <f aca="false">IF(OR(G287="",H287=""),"",IF(F287="Uscita",-1,1)*G287*H287)</f>
        <v/>
      </c>
      <c r="J287" s="13"/>
      <c r="K287" s="13"/>
    </row>
    <row r="288" customFormat="false" ht="15" hidden="false" customHeight="false" outlineLevel="0" collapsed="false">
      <c r="A288" s="12"/>
      <c r="B288" s="13"/>
      <c r="C288" s="13"/>
      <c r="D288" s="13"/>
      <c r="E288" s="7" t="str">
        <f aca="false">IF(D288="","",IFERROR(INDEX(Materiali!$B:$B,MATCH(D288,Materiali!$A:$A,0)),"codice?"))</f>
        <v/>
      </c>
      <c r="F288" s="13"/>
      <c r="G288" s="13"/>
      <c r="H288" s="9" t="str">
        <f aca="false">IF(D288="","",IFERROR(INDEX(Materiali!$C:$C,MATCH(D288,Materiali!$A:$A,0)),0))</f>
        <v/>
      </c>
      <c r="I288" s="9" t="str">
        <f aca="false">IF(OR(G288="",H288=""),"",IF(F288="Uscita",-1,1)*G288*H288)</f>
        <v/>
      </c>
      <c r="J288" s="13"/>
      <c r="K288" s="13"/>
    </row>
    <row r="289" customFormat="false" ht="15" hidden="false" customHeight="false" outlineLevel="0" collapsed="false">
      <c r="A289" s="12"/>
      <c r="B289" s="13"/>
      <c r="C289" s="13"/>
      <c r="D289" s="13"/>
      <c r="E289" s="7" t="str">
        <f aca="false">IF(D289="","",IFERROR(INDEX(Materiali!$B:$B,MATCH(D289,Materiali!$A:$A,0)),"codice?"))</f>
        <v/>
      </c>
      <c r="F289" s="13"/>
      <c r="G289" s="13"/>
      <c r="H289" s="9" t="str">
        <f aca="false">IF(D289="","",IFERROR(INDEX(Materiali!$C:$C,MATCH(D289,Materiali!$A:$A,0)),0))</f>
        <v/>
      </c>
      <c r="I289" s="9" t="str">
        <f aca="false">IF(OR(G289="",H289=""),"",IF(F289="Uscita",-1,1)*G289*H289)</f>
        <v/>
      </c>
      <c r="J289" s="13"/>
      <c r="K289" s="13"/>
    </row>
    <row r="290" customFormat="false" ht="15" hidden="false" customHeight="false" outlineLevel="0" collapsed="false">
      <c r="A290" s="12"/>
      <c r="B290" s="13"/>
      <c r="C290" s="13"/>
      <c r="D290" s="13"/>
      <c r="E290" s="7" t="str">
        <f aca="false">IF(D290="","",IFERROR(INDEX(Materiali!$B:$B,MATCH(D290,Materiali!$A:$A,0)),"codice?"))</f>
        <v/>
      </c>
      <c r="F290" s="13"/>
      <c r="G290" s="13"/>
      <c r="H290" s="9" t="str">
        <f aca="false">IF(D290="","",IFERROR(INDEX(Materiali!$C:$C,MATCH(D290,Materiali!$A:$A,0)),0))</f>
        <v/>
      </c>
      <c r="I290" s="9" t="str">
        <f aca="false">IF(OR(G290="",H290=""),"",IF(F290="Uscita",-1,1)*G290*H290)</f>
        <v/>
      </c>
      <c r="J290" s="13"/>
      <c r="K290" s="13"/>
    </row>
    <row r="291" customFormat="false" ht="15" hidden="false" customHeight="false" outlineLevel="0" collapsed="false">
      <c r="A291" s="12"/>
      <c r="B291" s="13"/>
      <c r="C291" s="13"/>
      <c r="D291" s="13"/>
      <c r="E291" s="7" t="str">
        <f aca="false">IF(D291="","",IFERROR(INDEX(Materiali!$B:$B,MATCH(D291,Materiali!$A:$A,0)),"codice?"))</f>
        <v/>
      </c>
      <c r="F291" s="13"/>
      <c r="G291" s="13"/>
      <c r="H291" s="9" t="str">
        <f aca="false">IF(D291="","",IFERROR(INDEX(Materiali!$C:$C,MATCH(D291,Materiali!$A:$A,0)),0))</f>
        <v/>
      </c>
      <c r="I291" s="9" t="str">
        <f aca="false">IF(OR(G291="",H291=""),"",IF(F291="Uscita",-1,1)*G291*H291)</f>
        <v/>
      </c>
      <c r="J291" s="13"/>
      <c r="K291" s="13"/>
    </row>
    <row r="292" customFormat="false" ht="15" hidden="false" customHeight="false" outlineLevel="0" collapsed="false">
      <c r="A292" s="12"/>
      <c r="B292" s="13"/>
      <c r="C292" s="13"/>
      <c r="D292" s="13"/>
      <c r="E292" s="7" t="str">
        <f aca="false">IF(D292="","",IFERROR(INDEX(Materiali!$B:$B,MATCH(D292,Materiali!$A:$A,0)),"codice?"))</f>
        <v/>
      </c>
      <c r="F292" s="13"/>
      <c r="G292" s="13"/>
      <c r="H292" s="9" t="str">
        <f aca="false">IF(D292="","",IFERROR(INDEX(Materiali!$C:$C,MATCH(D292,Materiali!$A:$A,0)),0))</f>
        <v/>
      </c>
      <c r="I292" s="9" t="str">
        <f aca="false">IF(OR(G292="",H292=""),"",IF(F292="Uscita",-1,1)*G292*H292)</f>
        <v/>
      </c>
      <c r="J292" s="13"/>
      <c r="K292" s="13"/>
    </row>
    <row r="293" customFormat="false" ht="15" hidden="false" customHeight="false" outlineLevel="0" collapsed="false">
      <c r="A293" s="12"/>
      <c r="B293" s="13"/>
      <c r="C293" s="13"/>
      <c r="D293" s="13"/>
      <c r="E293" s="7" t="str">
        <f aca="false">IF(D293="","",IFERROR(INDEX(Materiali!$B:$B,MATCH(D293,Materiali!$A:$A,0)),"codice?"))</f>
        <v/>
      </c>
      <c r="F293" s="13"/>
      <c r="G293" s="13"/>
      <c r="H293" s="9" t="str">
        <f aca="false">IF(D293="","",IFERROR(INDEX(Materiali!$C:$C,MATCH(D293,Materiali!$A:$A,0)),0))</f>
        <v/>
      </c>
      <c r="I293" s="9" t="str">
        <f aca="false">IF(OR(G293="",H293=""),"",IF(F293="Uscita",-1,1)*G293*H293)</f>
        <v/>
      </c>
      <c r="J293" s="13"/>
      <c r="K293" s="13"/>
    </row>
    <row r="294" customFormat="false" ht="15" hidden="false" customHeight="false" outlineLevel="0" collapsed="false">
      <c r="A294" s="12"/>
      <c r="B294" s="13"/>
      <c r="C294" s="13"/>
      <c r="D294" s="13"/>
      <c r="E294" s="7" t="str">
        <f aca="false">IF(D294="","",IFERROR(INDEX(Materiali!$B:$B,MATCH(D294,Materiali!$A:$A,0)),"codice?"))</f>
        <v/>
      </c>
      <c r="F294" s="13"/>
      <c r="G294" s="13"/>
      <c r="H294" s="9" t="str">
        <f aca="false">IF(D294="","",IFERROR(INDEX(Materiali!$C:$C,MATCH(D294,Materiali!$A:$A,0)),0))</f>
        <v/>
      </c>
      <c r="I294" s="9" t="str">
        <f aca="false">IF(OR(G294="",H294=""),"",IF(F294="Uscita",-1,1)*G294*H294)</f>
        <v/>
      </c>
      <c r="J294" s="13"/>
      <c r="K294" s="13"/>
    </row>
    <row r="295" customFormat="false" ht="15" hidden="false" customHeight="false" outlineLevel="0" collapsed="false">
      <c r="A295" s="12"/>
      <c r="B295" s="13"/>
      <c r="C295" s="13"/>
      <c r="D295" s="13"/>
      <c r="E295" s="7" t="str">
        <f aca="false">IF(D295="","",IFERROR(INDEX(Materiali!$B:$B,MATCH(D295,Materiali!$A:$A,0)),"codice?"))</f>
        <v/>
      </c>
      <c r="F295" s="13"/>
      <c r="G295" s="13"/>
      <c r="H295" s="9" t="str">
        <f aca="false">IF(D295="","",IFERROR(INDEX(Materiali!$C:$C,MATCH(D295,Materiali!$A:$A,0)),0))</f>
        <v/>
      </c>
      <c r="I295" s="9" t="str">
        <f aca="false">IF(OR(G295="",H295=""),"",IF(F295="Uscita",-1,1)*G295*H295)</f>
        <v/>
      </c>
      <c r="J295" s="13"/>
      <c r="K295" s="13"/>
    </row>
    <row r="296" customFormat="false" ht="15" hidden="false" customHeight="false" outlineLevel="0" collapsed="false">
      <c r="A296" s="12"/>
      <c r="B296" s="13"/>
      <c r="C296" s="13"/>
      <c r="D296" s="13"/>
      <c r="E296" s="7" t="str">
        <f aca="false">IF(D296="","",IFERROR(INDEX(Materiali!$B:$B,MATCH(D296,Materiali!$A:$A,0)),"codice?"))</f>
        <v/>
      </c>
      <c r="F296" s="13"/>
      <c r="G296" s="13"/>
      <c r="H296" s="9" t="str">
        <f aca="false">IF(D296="","",IFERROR(INDEX(Materiali!$C:$C,MATCH(D296,Materiali!$A:$A,0)),0))</f>
        <v/>
      </c>
      <c r="I296" s="9" t="str">
        <f aca="false">IF(OR(G296="",H296=""),"",IF(F296="Uscita",-1,1)*G296*H296)</f>
        <v/>
      </c>
      <c r="J296" s="13"/>
      <c r="K296" s="13"/>
    </row>
    <row r="297" customFormat="false" ht="15" hidden="false" customHeight="false" outlineLevel="0" collapsed="false">
      <c r="A297" s="12"/>
      <c r="B297" s="13"/>
      <c r="C297" s="13"/>
      <c r="D297" s="13"/>
      <c r="E297" s="7" t="str">
        <f aca="false">IF(D297="","",IFERROR(INDEX(Materiali!$B:$B,MATCH(D297,Materiali!$A:$A,0)),"codice?"))</f>
        <v/>
      </c>
      <c r="F297" s="13"/>
      <c r="G297" s="13"/>
      <c r="H297" s="9" t="str">
        <f aca="false">IF(D297="","",IFERROR(INDEX(Materiali!$C:$C,MATCH(D297,Materiali!$A:$A,0)),0))</f>
        <v/>
      </c>
      <c r="I297" s="9" t="str">
        <f aca="false">IF(OR(G297="",H297=""),"",IF(F297="Uscita",-1,1)*G297*H297)</f>
        <v/>
      </c>
      <c r="J297" s="13"/>
      <c r="K297" s="13"/>
    </row>
    <row r="298" customFormat="false" ht="15" hidden="false" customHeight="false" outlineLevel="0" collapsed="false">
      <c r="A298" s="12"/>
      <c r="B298" s="13"/>
      <c r="C298" s="13"/>
      <c r="D298" s="13"/>
      <c r="E298" s="7" t="str">
        <f aca="false">IF(D298="","",IFERROR(INDEX(Materiali!$B:$B,MATCH(D298,Materiali!$A:$A,0)),"codice?"))</f>
        <v/>
      </c>
      <c r="F298" s="13"/>
      <c r="G298" s="13"/>
      <c r="H298" s="9" t="str">
        <f aca="false">IF(D298="","",IFERROR(INDEX(Materiali!$C:$C,MATCH(D298,Materiali!$A:$A,0)),0))</f>
        <v/>
      </c>
      <c r="I298" s="9" t="str">
        <f aca="false">IF(OR(G298="",H298=""),"",IF(F298="Uscita",-1,1)*G298*H298)</f>
        <v/>
      </c>
      <c r="J298" s="13"/>
      <c r="K298" s="13"/>
    </row>
    <row r="299" customFormat="false" ht="15" hidden="false" customHeight="false" outlineLevel="0" collapsed="false">
      <c r="A299" s="12"/>
      <c r="B299" s="13"/>
      <c r="C299" s="13"/>
      <c r="D299" s="13"/>
      <c r="E299" s="7" t="str">
        <f aca="false">IF(D299="","",IFERROR(INDEX(Materiali!$B:$B,MATCH(D299,Materiali!$A:$A,0)),"codice?"))</f>
        <v/>
      </c>
      <c r="F299" s="13"/>
      <c r="G299" s="13"/>
      <c r="H299" s="9" t="str">
        <f aca="false">IF(D299="","",IFERROR(INDEX(Materiali!$C:$C,MATCH(D299,Materiali!$A:$A,0)),0))</f>
        <v/>
      </c>
      <c r="I299" s="9" t="str">
        <f aca="false">IF(OR(G299="",H299=""),"",IF(F299="Uscita",-1,1)*G299*H299)</f>
        <v/>
      </c>
      <c r="J299" s="13"/>
      <c r="K299" s="13"/>
    </row>
    <row r="300" customFormat="false" ht="15" hidden="false" customHeight="false" outlineLevel="0" collapsed="false">
      <c r="A300" s="12"/>
      <c r="B300" s="13"/>
      <c r="C300" s="13"/>
      <c r="D300" s="13"/>
      <c r="E300" s="7" t="str">
        <f aca="false">IF(D300="","",IFERROR(INDEX(Materiali!$B:$B,MATCH(D300,Materiali!$A:$A,0)),"codice?"))</f>
        <v/>
      </c>
      <c r="F300" s="13"/>
      <c r="G300" s="13"/>
      <c r="H300" s="9" t="str">
        <f aca="false">IF(D300="","",IFERROR(INDEX(Materiali!$C:$C,MATCH(D300,Materiali!$A:$A,0)),0))</f>
        <v/>
      </c>
      <c r="I300" s="9" t="str">
        <f aca="false">IF(OR(G300="",H300=""),"",IF(F300="Uscita",-1,1)*G300*H300)</f>
        <v/>
      </c>
      <c r="J300" s="13"/>
      <c r="K300" s="13"/>
    </row>
    <row r="301" customFormat="false" ht="15" hidden="false" customHeight="false" outlineLevel="0" collapsed="false">
      <c r="A301" s="12"/>
      <c r="B301" s="13"/>
      <c r="C301" s="13"/>
      <c r="D301" s="13"/>
      <c r="E301" s="7" t="str">
        <f aca="false">IF(D301="","",IFERROR(INDEX(Materiali!$B:$B,MATCH(D301,Materiali!$A:$A,0)),"codice?"))</f>
        <v/>
      </c>
      <c r="F301" s="13"/>
      <c r="G301" s="13"/>
      <c r="H301" s="9" t="str">
        <f aca="false">IF(D301="","",IFERROR(INDEX(Materiali!$C:$C,MATCH(D301,Materiali!$A:$A,0)),0))</f>
        <v/>
      </c>
      <c r="I301" s="9" t="str">
        <f aca="false">IF(OR(G301="",H301=""),"",IF(F301="Uscita",-1,1)*G301*H301)</f>
        <v/>
      </c>
      <c r="J301" s="13"/>
      <c r="K301" s="13"/>
    </row>
    <row r="302" customFormat="false" ht="15" hidden="false" customHeight="false" outlineLevel="0" collapsed="false">
      <c r="A302" s="12"/>
      <c r="B302" s="13"/>
      <c r="C302" s="13"/>
      <c r="D302" s="13"/>
      <c r="E302" s="7" t="str">
        <f aca="false">IF(D302="","",IFERROR(INDEX(Materiali!$B:$B,MATCH(D302,Materiali!$A:$A,0)),"codice?"))</f>
        <v/>
      </c>
      <c r="F302" s="13"/>
      <c r="G302" s="13"/>
      <c r="H302" s="9" t="str">
        <f aca="false">IF(D302="","",IFERROR(INDEX(Materiali!$C:$C,MATCH(D302,Materiali!$A:$A,0)),0))</f>
        <v/>
      </c>
      <c r="I302" s="9" t="str">
        <f aca="false">IF(OR(G302="",H302=""),"",IF(F302="Uscita",-1,1)*G302*H302)</f>
        <v/>
      </c>
      <c r="J302" s="13"/>
      <c r="K302" s="13"/>
    </row>
    <row r="303" customFormat="false" ht="15" hidden="false" customHeight="false" outlineLevel="0" collapsed="false">
      <c r="A303" s="12"/>
      <c r="B303" s="13"/>
      <c r="C303" s="13"/>
      <c r="D303" s="13"/>
      <c r="E303" s="7" t="str">
        <f aca="false">IF(D303="","",IFERROR(INDEX(Materiali!$B:$B,MATCH(D303,Materiali!$A:$A,0)),"codice?"))</f>
        <v/>
      </c>
      <c r="F303" s="13"/>
      <c r="G303" s="13"/>
      <c r="H303" s="9" t="str">
        <f aca="false">IF(D303="","",IFERROR(INDEX(Materiali!$C:$C,MATCH(D303,Materiali!$A:$A,0)),0))</f>
        <v/>
      </c>
      <c r="I303" s="9" t="str">
        <f aca="false">IF(OR(G303="",H303=""),"",IF(F303="Uscita",-1,1)*G303*H303)</f>
        <v/>
      </c>
      <c r="J303" s="13"/>
      <c r="K303" s="13"/>
    </row>
    <row r="304" customFormat="false" ht="15" hidden="false" customHeight="false" outlineLevel="0" collapsed="false">
      <c r="A304" s="12"/>
      <c r="B304" s="13"/>
      <c r="C304" s="13"/>
      <c r="D304" s="13"/>
      <c r="E304" s="7" t="str">
        <f aca="false">IF(D304="","",IFERROR(INDEX(Materiali!$B:$B,MATCH(D304,Materiali!$A:$A,0)),"codice?"))</f>
        <v/>
      </c>
      <c r="F304" s="13"/>
      <c r="G304" s="13"/>
      <c r="H304" s="9" t="str">
        <f aca="false">IF(D304="","",IFERROR(INDEX(Materiali!$C:$C,MATCH(D304,Materiali!$A:$A,0)),0))</f>
        <v/>
      </c>
      <c r="I304" s="9" t="str">
        <f aca="false">IF(OR(G304="",H304=""),"",IF(F304="Uscita",-1,1)*G304*H304)</f>
        <v/>
      </c>
      <c r="J304" s="13"/>
      <c r="K304" s="13"/>
    </row>
    <row r="305" customFormat="false" ht="15" hidden="false" customHeight="false" outlineLevel="0" collapsed="false">
      <c r="A305" s="12"/>
      <c r="B305" s="13"/>
      <c r="C305" s="13"/>
      <c r="D305" s="13"/>
      <c r="E305" s="7" t="str">
        <f aca="false">IF(D305="","",IFERROR(INDEX(Materiali!$B:$B,MATCH(D305,Materiali!$A:$A,0)),"codice?"))</f>
        <v/>
      </c>
      <c r="F305" s="13"/>
      <c r="G305" s="13"/>
      <c r="H305" s="9" t="str">
        <f aca="false">IF(D305="","",IFERROR(INDEX(Materiali!$C:$C,MATCH(D305,Materiali!$A:$A,0)),0))</f>
        <v/>
      </c>
      <c r="I305" s="9" t="str">
        <f aca="false">IF(OR(G305="",H305=""),"",IF(F305="Uscita",-1,1)*G305*H305)</f>
        <v/>
      </c>
      <c r="J305" s="13"/>
      <c r="K305" s="13"/>
    </row>
    <row r="306" customFormat="false" ht="15" hidden="false" customHeight="false" outlineLevel="0" collapsed="false">
      <c r="A306" s="12"/>
      <c r="B306" s="13"/>
      <c r="C306" s="13"/>
      <c r="D306" s="13"/>
      <c r="E306" s="7" t="str">
        <f aca="false">IF(D306="","",IFERROR(INDEX(Materiali!$B:$B,MATCH(D306,Materiali!$A:$A,0)),"codice?"))</f>
        <v/>
      </c>
      <c r="F306" s="13"/>
      <c r="G306" s="13"/>
      <c r="H306" s="9" t="str">
        <f aca="false">IF(D306="","",IFERROR(INDEX(Materiali!$C:$C,MATCH(D306,Materiali!$A:$A,0)),0))</f>
        <v/>
      </c>
      <c r="I306" s="9" t="str">
        <f aca="false">IF(OR(G306="",H306=""),"",IF(F306="Uscita",-1,1)*G306*H306)</f>
        <v/>
      </c>
      <c r="J306" s="13"/>
      <c r="K306" s="13"/>
    </row>
    <row r="307" customFormat="false" ht="15" hidden="false" customHeight="false" outlineLevel="0" collapsed="false">
      <c r="A307" s="12"/>
      <c r="B307" s="13"/>
      <c r="C307" s="13"/>
      <c r="D307" s="13"/>
      <c r="E307" s="7" t="str">
        <f aca="false">IF(D307="","",IFERROR(INDEX(Materiali!$B:$B,MATCH(D307,Materiali!$A:$A,0)),"codice?"))</f>
        <v/>
      </c>
      <c r="F307" s="13"/>
      <c r="G307" s="13"/>
      <c r="H307" s="9" t="str">
        <f aca="false">IF(D307="","",IFERROR(INDEX(Materiali!$C:$C,MATCH(D307,Materiali!$A:$A,0)),0))</f>
        <v/>
      </c>
      <c r="I307" s="9" t="str">
        <f aca="false">IF(OR(G307="",H307=""),"",IF(F307="Uscita",-1,1)*G307*H307)</f>
        <v/>
      </c>
      <c r="J307" s="13"/>
      <c r="K307" s="13"/>
    </row>
    <row r="308" customFormat="false" ht="15" hidden="false" customHeight="false" outlineLevel="0" collapsed="false">
      <c r="A308" s="12"/>
      <c r="B308" s="13"/>
      <c r="C308" s="13"/>
      <c r="D308" s="13"/>
      <c r="E308" s="7" t="str">
        <f aca="false">IF(D308="","",IFERROR(INDEX(Materiali!$B:$B,MATCH(D308,Materiali!$A:$A,0)),"codice?"))</f>
        <v/>
      </c>
      <c r="F308" s="13"/>
      <c r="G308" s="13"/>
      <c r="H308" s="9" t="str">
        <f aca="false">IF(D308="","",IFERROR(INDEX(Materiali!$C:$C,MATCH(D308,Materiali!$A:$A,0)),0))</f>
        <v/>
      </c>
      <c r="I308" s="9" t="str">
        <f aca="false">IF(OR(G308="",H308=""),"",IF(F308="Uscita",-1,1)*G308*H308)</f>
        <v/>
      </c>
      <c r="J308" s="13"/>
      <c r="K308" s="13"/>
    </row>
    <row r="309" customFormat="false" ht="15" hidden="false" customHeight="false" outlineLevel="0" collapsed="false">
      <c r="A309" s="12"/>
      <c r="B309" s="13"/>
      <c r="C309" s="13"/>
      <c r="D309" s="13"/>
      <c r="E309" s="7" t="str">
        <f aca="false">IF(D309="","",IFERROR(INDEX(Materiali!$B:$B,MATCH(D309,Materiali!$A:$A,0)),"codice?"))</f>
        <v/>
      </c>
      <c r="F309" s="13"/>
      <c r="G309" s="13"/>
      <c r="H309" s="9" t="str">
        <f aca="false">IF(D309="","",IFERROR(INDEX(Materiali!$C:$C,MATCH(D309,Materiali!$A:$A,0)),0))</f>
        <v/>
      </c>
      <c r="I309" s="9" t="str">
        <f aca="false">IF(OR(G309="",H309=""),"",IF(F309="Uscita",-1,1)*G309*H309)</f>
        <v/>
      </c>
      <c r="J309" s="13"/>
      <c r="K309" s="13"/>
    </row>
    <row r="310" customFormat="false" ht="15" hidden="false" customHeight="false" outlineLevel="0" collapsed="false">
      <c r="A310" s="12"/>
      <c r="B310" s="13"/>
      <c r="C310" s="13"/>
      <c r="D310" s="13"/>
      <c r="E310" s="7" t="str">
        <f aca="false">IF(D310="","",IFERROR(INDEX(Materiali!$B:$B,MATCH(D310,Materiali!$A:$A,0)),"codice?"))</f>
        <v/>
      </c>
      <c r="F310" s="13"/>
      <c r="G310" s="13"/>
      <c r="H310" s="9" t="str">
        <f aca="false">IF(D310="","",IFERROR(INDEX(Materiali!$C:$C,MATCH(D310,Materiali!$A:$A,0)),0))</f>
        <v/>
      </c>
      <c r="I310" s="9" t="str">
        <f aca="false">IF(OR(G310="",H310=""),"",IF(F310="Uscita",-1,1)*G310*H310)</f>
        <v/>
      </c>
      <c r="J310" s="13"/>
      <c r="K310" s="13"/>
    </row>
    <row r="311" customFormat="false" ht="15" hidden="false" customHeight="false" outlineLevel="0" collapsed="false">
      <c r="A311" s="12"/>
      <c r="B311" s="13"/>
      <c r="C311" s="13"/>
      <c r="D311" s="13"/>
      <c r="E311" s="7" t="str">
        <f aca="false">IF(D311="","",IFERROR(INDEX(Materiali!$B:$B,MATCH(D311,Materiali!$A:$A,0)),"codice?"))</f>
        <v/>
      </c>
      <c r="F311" s="13"/>
      <c r="G311" s="13"/>
      <c r="H311" s="9" t="str">
        <f aca="false">IF(D311="","",IFERROR(INDEX(Materiali!$C:$C,MATCH(D311,Materiali!$A:$A,0)),0))</f>
        <v/>
      </c>
      <c r="I311" s="9" t="str">
        <f aca="false">IF(OR(G311="",H311=""),"",IF(F311="Uscita",-1,1)*G311*H311)</f>
        <v/>
      </c>
      <c r="J311" s="13"/>
      <c r="K311" s="13"/>
    </row>
    <row r="312" customFormat="false" ht="15" hidden="false" customHeight="false" outlineLevel="0" collapsed="false">
      <c r="A312" s="12"/>
      <c r="B312" s="13"/>
      <c r="C312" s="13"/>
      <c r="D312" s="13"/>
      <c r="E312" s="7" t="str">
        <f aca="false">IF(D312="","",IFERROR(INDEX(Materiali!$B:$B,MATCH(D312,Materiali!$A:$A,0)),"codice?"))</f>
        <v/>
      </c>
      <c r="F312" s="13"/>
      <c r="G312" s="13"/>
      <c r="H312" s="9" t="str">
        <f aca="false">IF(D312="","",IFERROR(INDEX(Materiali!$C:$C,MATCH(D312,Materiali!$A:$A,0)),0))</f>
        <v/>
      </c>
      <c r="I312" s="9" t="str">
        <f aca="false">IF(OR(G312="",H312=""),"",IF(F312="Uscita",-1,1)*G312*H312)</f>
        <v/>
      </c>
      <c r="J312" s="13"/>
      <c r="K312" s="13"/>
    </row>
    <row r="313" customFormat="false" ht="15" hidden="false" customHeight="false" outlineLevel="0" collapsed="false">
      <c r="A313" s="12"/>
      <c r="B313" s="13"/>
      <c r="C313" s="13"/>
      <c r="D313" s="13"/>
      <c r="E313" s="7" t="str">
        <f aca="false">IF(D313="","",IFERROR(INDEX(Materiali!$B:$B,MATCH(D313,Materiali!$A:$A,0)),"codice?"))</f>
        <v/>
      </c>
      <c r="F313" s="13"/>
      <c r="G313" s="13"/>
      <c r="H313" s="9" t="str">
        <f aca="false">IF(D313="","",IFERROR(INDEX(Materiali!$C:$C,MATCH(D313,Materiali!$A:$A,0)),0))</f>
        <v/>
      </c>
      <c r="I313" s="9" t="str">
        <f aca="false">IF(OR(G313="",H313=""),"",IF(F313="Uscita",-1,1)*G313*H313)</f>
        <v/>
      </c>
      <c r="J313" s="13"/>
      <c r="K313" s="13"/>
    </row>
    <row r="314" customFormat="false" ht="15" hidden="false" customHeight="false" outlineLevel="0" collapsed="false">
      <c r="A314" s="12"/>
      <c r="B314" s="13"/>
      <c r="C314" s="13"/>
      <c r="D314" s="13"/>
      <c r="E314" s="7" t="str">
        <f aca="false">IF(D314="","",IFERROR(INDEX(Materiali!$B:$B,MATCH(D314,Materiali!$A:$A,0)),"codice?"))</f>
        <v/>
      </c>
      <c r="F314" s="13"/>
      <c r="G314" s="13"/>
      <c r="H314" s="9" t="str">
        <f aca="false">IF(D314="","",IFERROR(INDEX(Materiali!$C:$C,MATCH(D314,Materiali!$A:$A,0)),0))</f>
        <v/>
      </c>
      <c r="I314" s="9" t="str">
        <f aca="false">IF(OR(G314="",H314=""),"",IF(F314="Uscita",-1,1)*G314*H314)</f>
        <v/>
      </c>
      <c r="J314" s="13"/>
      <c r="K314" s="13"/>
    </row>
    <row r="315" customFormat="false" ht="15" hidden="false" customHeight="false" outlineLevel="0" collapsed="false">
      <c r="A315" s="12"/>
      <c r="B315" s="13"/>
      <c r="C315" s="13"/>
      <c r="D315" s="13"/>
      <c r="E315" s="7" t="str">
        <f aca="false">IF(D315="","",IFERROR(INDEX(Materiali!$B:$B,MATCH(D315,Materiali!$A:$A,0)),"codice?"))</f>
        <v/>
      </c>
      <c r="F315" s="13"/>
      <c r="G315" s="13"/>
      <c r="H315" s="9" t="str">
        <f aca="false">IF(D315="","",IFERROR(INDEX(Materiali!$C:$C,MATCH(D315,Materiali!$A:$A,0)),0))</f>
        <v/>
      </c>
      <c r="I315" s="9" t="str">
        <f aca="false">IF(OR(G315="",H315=""),"",IF(F315="Uscita",-1,1)*G315*H315)</f>
        <v/>
      </c>
      <c r="J315" s="13"/>
      <c r="K315" s="13"/>
    </row>
    <row r="316" customFormat="false" ht="15" hidden="false" customHeight="false" outlineLevel="0" collapsed="false">
      <c r="A316" s="12"/>
      <c r="B316" s="13"/>
      <c r="C316" s="13"/>
      <c r="D316" s="13"/>
      <c r="E316" s="7" t="str">
        <f aca="false">IF(D316="","",IFERROR(INDEX(Materiali!$B:$B,MATCH(D316,Materiali!$A:$A,0)),"codice?"))</f>
        <v/>
      </c>
      <c r="F316" s="13"/>
      <c r="G316" s="13"/>
      <c r="H316" s="9" t="str">
        <f aca="false">IF(D316="","",IFERROR(INDEX(Materiali!$C:$C,MATCH(D316,Materiali!$A:$A,0)),0))</f>
        <v/>
      </c>
      <c r="I316" s="9" t="str">
        <f aca="false">IF(OR(G316="",H316=""),"",IF(F316="Uscita",-1,1)*G316*H316)</f>
        <v/>
      </c>
      <c r="J316" s="13"/>
      <c r="K316" s="13"/>
    </row>
    <row r="317" customFormat="false" ht="15" hidden="false" customHeight="false" outlineLevel="0" collapsed="false">
      <c r="A317" s="12"/>
      <c r="B317" s="13"/>
      <c r="C317" s="13"/>
      <c r="D317" s="13"/>
      <c r="E317" s="7" t="str">
        <f aca="false">IF(D317="","",IFERROR(INDEX(Materiali!$B:$B,MATCH(D317,Materiali!$A:$A,0)),"codice?"))</f>
        <v/>
      </c>
      <c r="F317" s="13"/>
      <c r="G317" s="13"/>
      <c r="H317" s="9" t="str">
        <f aca="false">IF(D317="","",IFERROR(INDEX(Materiali!$C:$C,MATCH(D317,Materiali!$A:$A,0)),0))</f>
        <v/>
      </c>
      <c r="I317" s="9" t="str">
        <f aca="false">IF(OR(G317="",H317=""),"",IF(F317="Uscita",-1,1)*G317*H317)</f>
        <v/>
      </c>
      <c r="J317" s="13"/>
      <c r="K317" s="13"/>
    </row>
    <row r="318" customFormat="false" ht="15" hidden="false" customHeight="false" outlineLevel="0" collapsed="false">
      <c r="A318" s="12"/>
      <c r="B318" s="13"/>
      <c r="C318" s="13"/>
      <c r="D318" s="13"/>
      <c r="E318" s="7" t="str">
        <f aca="false">IF(D318="","",IFERROR(INDEX(Materiali!$B:$B,MATCH(D318,Materiali!$A:$A,0)),"codice?"))</f>
        <v/>
      </c>
      <c r="F318" s="13"/>
      <c r="G318" s="13"/>
      <c r="H318" s="9" t="str">
        <f aca="false">IF(D318="","",IFERROR(INDEX(Materiali!$C:$C,MATCH(D318,Materiali!$A:$A,0)),0))</f>
        <v/>
      </c>
      <c r="I318" s="9" t="str">
        <f aca="false">IF(OR(G318="",H318=""),"",IF(F318="Uscita",-1,1)*G318*H318)</f>
        <v/>
      </c>
      <c r="J318" s="13"/>
      <c r="K318" s="13"/>
    </row>
    <row r="319" customFormat="false" ht="15" hidden="false" customHeight="false" outlineLevel="0" collapsed="false">
      <c r="A319" s="12"/>
      <c r="B319" s="13"/>
      <c r="C319" s="13"/>
      <c r="D319" s="13"/>
      <c r="E319" s="7" t="str">
        <f aca="false">IF(D319="","",IFERROR(INDEX(Materiali!$B:$B,MATCH(D319,Materiali!$A:$A,0)),"codice?"))</f>
        <v/>
      </c>
      <c r="F319" s="13"/>
      <c r="G319" s="13"/>
      <c r="H319" s="9" t="str">
        <f aca="false">IF(D319="","",IFERROR(INDEX(Materiali!$C:$C,MATCH(D319,Materiali!$A:$A,0)),0))</f>
        <v/>
      </c>
      <c r="I319" s="9" t="str">
        <f aca="false">IF(OR(G319="",H319=""),"",IF(F319="Uscita",-1,1)*G319*H319)</f>
        <v/>
      </c>
      <c r="J319" s="13"/>
      <c r="K319" s="13"/>
    </row>
    <row r="320" customFormat="false" ht="15" hidden="false" customHeight="false" outlineLevel="0" collapsed="false">
      <c r="A320" s="12"/>
      <c r="B320" s="13"/>
      <c r="C320" s="13"/>
      <c r="D320" s="13"/>
      <c r="E320" s="7" t="str">
        <f aca="false">IF(D320="","",IFERROR(INDEX(Materiali!$B:$B,MATCH(D320,Materiali!$A:$A,0)),"codice?"))</f>
        <v/>
      </c>
      <c r="F320" s="13"/>
      <c r="G320" s="13"/>
      <c r="H320" s="9" t="str">
        <f aca="false">IF(D320="","",IFERROR(INDEX(Materiali!$C:$C,MATCH(D320,Materiali!$A:$A,0)),0))</f>
        <v/>
      </c>
      <c r="I320" s="9" t="str">
        <f aca="false">IF(OR(G320="",H320=""),"",IF(F320="Uscita",-1,1)*G320*H320)</f>
        <v/>
      </c>
      <c r="J320" s="13"/>
      <c r="K320" s="13"/>
    </row>
    <row r="321" customFormat="false" ht="15" hidden="false" customHeight="false" outlineLevel="0" collapsed="false">
      <c r="A321" s="12"/>
      <c r="B321" s="13"/>
      <c r="C321" s="13"/>
      <c r="D321" s="13"/>
      <c r="E321" s="7" t="str">
        <f aca="false">IF(D321="","",IFERROR(INDEX(Materiali!$B:$B,MATCH(D321,Materiali!$A:$A,0)),"codice?"))</f>
        <v/>
      </c>
      <c r="F321" s="13"/>
      <c r="G321" s="13"/>
      <c r="H321" s="9" t="str">
        <f aca="false">IF(D321="","",IFERROR(INDEX(Materiali!$C:$C,MATCH(D321,Materiali!$A:$A,0)),0))</f>
        <v/>
      </c>
      <c r="I321" s="9" t="str">
        <f aca="false">IF(OR(G321="",H321=""),"",IF(F321="Uscita",-1,1)*G321*H321)</f>
        <v/>
      </c>
      <c r="J321" s="13"/>
      <c r="K321" s="13"/>
    </row>
    <row r="322" customFormat="false" ht="15" hidden="false" customHeight="false" outlineLevel="0" collapsed="false">
      <c r="A322" s="12"/>
      <c r="B322" s="13"/>
      <c r="C322" s="13"/>
      <c r="D322" s="13"/>
      <c r="E322" s="7" t="str">
        <f aca="false">IF(D322="","",IFERROR(INDEX(Materiali!$B:$B,MATCH(D322,Materiali!$A:$A,0)),"codice?"))</f>
        <v/>
      </c>
      <c r="F322" s="13"/>
      <c r="G322" s="13"/>
      <c r="H322" s="9" t="str">
        <f aca="false">IF(D322="","",IFERROR(INDEX(Materiali!$C:$C,MATCH(D322,Materiali!$A:$A,0)),0))</f>
        <v/>
      </c>
      <c r="I322" s="9" t="str">
        <f aca="false">IF(OR(G322="",H322=""),"",IF(F322="Uscita",-1,1)*G322*H322)</f>
        <v/>
      </c>
      <c r="J322" s="13"/>
      <c r="K322" s="13"/>
    </row>
    <row r="323" customFormat="false" ht="15" hidden="false" customHeight="false" outlineLevel="0" collapsed="false">
      <c r="A323" s="12"/>
      <c r="B323" s="13"/>
      <c r="C323" s="13"/>
      <c r="D323" s="13"/>
      <c r="E323" s="7" t="str">
        <f aca="false">IF(D323="","",IFERROR(INDEX(Materiali!$B:$B,MATCH(D323,Materiali!$A:$A,0)),"codice?"))</f>
        <v/>
      </c>
      <c r="F323" s="13"/>
      <c r="G323" s="13"/>
      <c r="H323" s="9" t="str">
        <f aca="false">IF(D323="","",IFERROR(INDEX(Materiali!$C:$C,MATCH(D323,Materiali!$A:$A,0)),0))</f>
        <v/>
      </c>
      <c r="I323" s="9" t="str">
        <f aca="false">IF(OR(G323="",H323=""),"",IF(F323="Uscita",-1,1)*G323*H323)</f>
        <v/>
      </c>
      <c r="J323" s="13"/>
      <c r="K323" s="13"/>
    </row>
    <row r="324" customFormat="false" ht="15" hidden="false" customHeight="false" outlineLevel="0" collapsed="false">
      <c r="A324" s="12"/>
      <c r="B324" s="13"/>
      <c r="C324" s="13"/>
      <c r="D324" s="13"/>
      <c r="E324" s="7" t="str">
        <f aca="false">IF(D324="","",IFERROR(INDEX(Materiali!$B:$B,MATCH(D324,Materiali!$A:$A,0)),"codice?"))</f>
        <v/>
      </c>
      <c r="F324" s="13"/>
      <c r="G324" s="13"/>
      <c r="H324" s="9" t="str">
        <f aca="false">IF(D324="","",IFERROR(INDEX(Materiali!$C:$C,MATCH(D324,Materiali!$A:$A,0)),0))</f>
        <v/>
      </c>
      <c r="I324" s="9" t="str">
        <f aca="false">IF(OR(G324="",H324=""),"",IF(F324="Uscita",-1,1)*G324*H324)</f>
        <v/>
      </c>
      <c r="J324" s="13"/>
      <c r="K324" s="13"/>
    </row>
    <row r="325" customFormat="false" ht="15" hidden="false" customHeight="false" outlineLevel="0" collapsed="false">
      <c r="A325" s="12"/>
      <c r="B325" s="13"/>
      <c r="C325" s="13"/>
      <c r="D325" s="13"/>
      <c r="E325" s="7" t="str">
        <f aca="false">IF(D325="","",IFERROR(INDEX(Materiali!$B:$B,MATCH(D325,Materiali!$A:$A,0)),"codice?"))</f>
        <v/>
      </c>
      <c r="F325" s="13"/>
      <c r="G325" s="13"/>
      <c r="H325" s="9" t="str">
        <f aca="false">IF(D325="","",IFERROR(INDEX(Materiali!$C:$C,MATCH(D325,Materiali!$A:$A,0)),0))</f>
        <v/>
      </c>
      <c r="I325" s="9" t="str">
        <f aca="false">IF(OR(G325="",H325=""),"",IF(F325="Uscita",-1,1)*G325*H325)</f>
        <v/>
      </c>
      <c r="J325" s="13"/>
      <c r="K325" s="13"/>
    </row>
    <row r="326" customFormat="false" ht="15" hidden="false" customHeight="false" outlineLevel="0" collapsed="false">
      <c r="A326" s="12"/>
      <c r="B326" s="13"/>
      <c r="C326" s="13"/>
      <c r="D326" s="13"/>
      <c r="E326" s="7" t="str">
        <f aca="false">IF(D326="","",IFERROR(INDEX(Materiali!$B:$B,MATCH(D326,Materiali!$A:$A,0)),"codice?"))</f>
        <v/>
      </c>
      <c r="F326" s="13"/>
      <c r="G326" s="13"/>
      <c r="H326" s="9" t="str">
        <f aca="false">IF(D326="","",IFERROR(INDEX(Materiali!$C:$C,MATCH(D326,Materiali!$A:$A,0)),0))</f>
        <v/>
      </c>
      <c r="I326" s="9" t="str">
        <f aca="false">IF(OR(G326="",H326=""),"",IF(F326="Uscita",-1,1)*G326*H326)</f>
        <v/>
      </c>
      <c r="J326" s="13"/>
      <c r="K326" s="13"/>
    </row>
    <row r="327" customFormat="false" ht="15" hidden="false" customHeight="false" outlineLevel="0" collapsed="false">
      <c r="A327" s="12"/>
      <c r="B327" s="13"/>
      <c r="C327" s="13"/>
      <c r="D327" s="13"/>
      <c r="E327" s="7" t="str">
        <f aca="false">IF(D327="","",IFERROR(INDEX(Materiali!$B:$B,MATCH(D327,Materiali!$A:$A,0)),"codice?"))</f>
        <v/>
      </c>
      <c r="F327" s="13"/>
      <c r="G327" s="13"/>
      <c r="H327" s="9" t="str">
        <f aca="false">IF(D327="","",IFERROR(INDEX(Materiali!$C:$C,MATCH(D327,Materiali!$A:$A,0)),0))</f>
        <v/>
      </c>
      <c r="I327" s="9" t="str">
        <f aca="false">IF(OR(G327="",H327=""),"",IF(F327="Uscita",-1,1)*G327*H327)</f>
        <v/>
      </c>
      <c r="J327" s="13"/>
      <c r="K327" s="13"/>
    </row>
    <row r="328" customFormat="false" ht="15" hidden="false" customHeight="false" outlineLevel="0" collapsed="false">
      <c r="A328" s="12"/>
      <c r="B328" s="13"/>
      <c r="C328" s="13"/>
      <c r="D328" s="13"/>
      <c r="E328" s="7" t="str">
        <f aca="false">IF(D328="","",IFERROR(INDEX(Materiali!$B:$B,MATCH(D328,Materiali!$A:$A,0)),"codice?"))</f>
        <v/>
      </c>
      <c r="F328" s="13"/>
      <c r="G328" s="13"/>
      <c r="H328" s="9" t="str">
        <f aca="false">IF(D328="","",IFERROR(INDEX(Materiali!$C:$C,MATCH(D328,Materiali!$A:$A,0)),0))</f>
        <v/>
      </c>
      <c r="I328" s="9" t="str">
        <f aca="false">IF(OR(G328="",H328=""),"",IF(F328="Uscita",-1,1)*G328*H328)</f>
        <v/>
      </c>
      <c r="J328" s="13"/>
      <c r="K328" s="13"/>
    </row>
    <row r="329" customFormat="false" ht="15" hidden="false" customHeight="false" outlineLevel="0" collapsed="false">
      <c r="A329" s="12"/>
      <c r="B329" s="13"/>
      <c r="C329" s="13"/>
      <c r="D329" s="13"/>
      <c r="E329" s="7" t="str">
        <f aca="false">IF(D329="","",IFERROR(INDEX(Materiali!$B:$B,MATCH(D329,Materiali!$A:$A,0)),"codice?"))</f>
        <v/>
      </c>
      <c r="F329" s="13"/>
      <c r="G329" s="13"/>
      <c r="H329" s="9" t="str">
        <f aca="false">IF(D329="","",IFERROR(INDEX(Materiali!$C:$C,MATCH(D329,Materiali!$A:$A,0)),0))</f>
        <v/>
      </c>
      <c r="I329" s="9" t="str">
        <f aca="false">IF(OR(G329="",H329=""),"",IF(F329="Uscita",-1,1)*G329*H329)</f>
        <v/>
      </c>
      <c r="J329" s="13"/>
      <c r="K329" s="13"/>
    </row>
    <row r="330" customFormat="false" ht="15" hidden="false" customHeight="false" outlineLevel="0" collapsed="false">
      <c r="A330" s="12"/>
      <c r="B330" s="13"/>
      <c r="C330" s="13"/>
      <c r="D330" s="13"/>
      <c r="E330" s="7" t="str">
        <f aca="false">IF(D330="","",IFERROR(INDEX(Materiali!$B:$B,MATCH(D330,Materiali!$A:$A,0)),"codice?"))</f>
        <v/>
      </c>
      <c r="F330" s="13"/>
      <c r="G330" s="13"/>
      <c r="H330" s="9" t="str">
        <f aca="false">IF(D330="","",IFERROR(INDEX(Materiali!$C:$C,MATCH(D330,Materiali!$A:$A,0)),0))</f>
        <v/>
      </c>
      <c r="I330" s="9" t="str">
        <f aca="false">IF(OR(G330="",H330=""),"",IF(F330="Uscita",-1,1)*G330*H330)</f>
        <v/>
      </c>
      <c r="J330" s="13"/>
      <c r="K330" s="13"/>
    </row>
    <row r="331" customFormat="false" ht="15" hidden="false" customHeight="false" outlineLevel="0" collapsed="false">
      <c r="A331" s="12"/>
      <c r="B331" s="13"/>
      <c r="C331" s="13"/>
      <c r="D331" s="13"/>
      <c r="E331" s="7" t="str">
        <f aca="false">IF(D331="","",IFERROR(INDEX(Materiali!$B:$B,MATCH(D331,Materiali!$A:$A,0)),"codice?"))</f>
        <v/>
      </c>
      <c r="F331" s="13"/>
      <c r="G331" s="13"/>
      <c r="H331" s="9" t="str">
        <f aca="false">IF(D331="","",IFERROR(INDEX(Materiali!$C:$C,MATCH(D331,Materiali!$A:$A,0)),0))</f>
        <v/>
      </c>
      <c r="I331" s="9" t="str">
        <f aca="false">IF(OR(G331="",H331=""),"",IF(F331="Uscita",-1,1)*G331*H331)</f>
        <v/>
      </c>
      <c r="J331" s="13"/>
      <c r="K331" s="13"/>
    </row>
    <row r="332" customFormat="false" ht="15" hidden="false" customHeight="false" outlineLevel="0" collapsed="false">
      <c r="A332" s="12"/>
      <c r="B332" s="13"/>
      <c r="C332" s="13"/>
      <c r="D332" s="13"/>
      <c r="E332" s="7" t="str">
        <f aca="false">IF(D332="","",IFERROR(INDEX(Materiali!$B:$B,MATCH(D332,Materiali!$A:$A,0)),"codice?"))</f>
        <v/>
      </c>
      <c r="F332" s="13"/>
      <c r="G332" s="13"/>
      <c r="H332" s="9" t="str">
        <f aca="false">IF(D332="","",IFERROR(INDEX(Materiali!$C:$C,MATCH(D332,Materiali!$A:$A,0)),0))</f>
        <v/>
      </c>
      <c r="I332" s="9" t="str">
        <f aca="false">IF(OR(G332="",H332=""),"",IF(F332="Uscita",-1,1)*G332*H332)</f>
        <v/>
      </c>
      <c r="J332" s="13"/>
      <c r="K332" s="13"/>
    </row>
    <row r="333" customFormat="false" ht="15" hidden="false" customHeight="false" outlineLevel="0" collapsed="false">
      <c r="A333" s="12"/>
      <c r="B333" s="13"/>
      <c r="C333" s="13"/>
      <c r="D333" s="13"/>
      <c r="E333" s="7" t="str">
        <f aca="false">IF(D333="","",IFERROR(INDEX(Materiali!$B:$B,MATCH(D333,Materiali!$A:$A,0)),"codice?"))</f>
        <v/>
      </c>
      <c r="F333" s="13"/>
      <c r="G333" s="13"/>
      <c r="H333" s="9" t="str">
        <f aca="false">IF(D333="","",IFERROR(INDEX(Materiali!$C:$C,MATCH(D333,Materiali!$A:$A,0)),0))</f>
        <v/>
      </c>
      <c r="I333" s="9" t="str">
        <f aca="false">IF(OR(G333="",H333=""),"",IF(F333="Uscita",-1,1)*G333*H333)</f>
        <v/>
      </c>
      <c r="J333" s="13"/>
      <c r="K333" s="13"/>
    </row>
    <row r="334" customFormat="false" ht="15" hidden="false" customHeight="false" outlineLevel="0" collapsed="false">
      <c r="A334" s="12"/>
      <c r="B334" s="13"/>
      <c r="C334" s="13"/>
      <c r="D334" s="13"/>
      <c r="E334" s="7" t="str">
        <f aca="false">IF(D334="","",IFERROR(INDEX(Materiali!$B:$B,MATCH(D334,Materiali!$A:$A,0)),"codice?"))</f>
        <v/>
      </c>
      <c r="F334" s="13"/>
      <c r="G334" s="13"/>
      <c r="H334" s="9" t="str">
        <f aca="false">IF(D334="","",IFERROR(INDEX(Materiali!$C:$C,MATCH(D334,Materiali!$A:$A,0)),0))</f>
        <v/>
      </c>
      <c r="I334" s="9" t="str">
        <f aca="false">IF(OR(G334="",H334=""),"",IF(F334="Uscita",-1,1)*G334*H334)</f>
        <v/>
      </c>
      <c r="J334" s="13"/>
      <c r="K334" s="13"/>
    </row>
    <row r="335" customFormat="false" ht="15" hidden="false" customHeight="false" outlineLevel="0" collapsed="false">
      <c r="A335" s="12"/>
      <c r="B335" s="13"/>
      <c r="C335" s="13"/>
      <c r="D335" s="13"/>
      <c r="E335" s="7" t="str">
        <f aca="false">IF(D335="","",IFERROR(INDEX(Materiali!$B:$B,MATCH(D335,Materiali!$A:$A,0)),"codice?"))</f>
        <v/>
      </c>
      <c r="F335" s="13"/>
      <c r="G335" s="13"/>
      <c r="H335" s="9" t="str">
        <f aca="false">IF(D335="","",IFERROR(INDEX(Materiali!$C:$C,MATCH(D335,Materiali!$A:$A,0)),0))</f>
        <v/>
      </c>
      <c r="I335" s="9" t="str">
        <f aca="false">IF(OR(G335="",H335=""),"",IF(F335="Uscita",-1,1)*G335*H335)</f>
        <v/>
      </c>
      <c r="J335" s="13"/>
      <c r="K335" s="13"/>
    </row>
    <row r="336" customFormat="false" ht="15" hidden="false" customHeight="false" outlineLevel="0" collapsed="false">
      <c r="A336" s="12"/>
      <c r="B336" s="13"/>
      <c r="C336" s="13"/>
      <c r="D336" s="13"/>
      <c r="E336" s="7" t="str">
        <f aca="false">IF(D336="","",IFERROR(INDEX(Materiali!$B:$B,MATCH(D336,Materiali!$A:$A,0)),"codice?"))</f>
        <v/>
      </c>
      <c r="F336" s="13"/>
      <c r="G336" s="13"/>
      <c r="H336" s="9" t="str">
        <f aca="false">IF(D336="","",IFERROR(INDEX(Materiali!$C:$C,MATCH(D336,Materiali!$A:$A,0)),0))</f>
        <v/>
      </c>
      <c r="I336" s="9" t="str">
        <f aca="false">IF(OR(G336="",H336=""),"",IF(F336="Uscita",-1,1)*G336*H336)</f>
        <v/>
      </c>
      <c r="J336" s="13"/>
      <c r="K336" s="13"/>
    </row>
    <row r="337" customFormat="false" ht="15" hidden="false" customHeight="false" outlineLevel="0" collapsed="false">
      <c r="A337" s="12"/>
      <c r="B337" s="13"/>
      <c r="C337" s="13"/>
      <c r="D337" s="13"/>
      <c r="E337" s="7" t="str">
        <f aca="false">IF(D337="","",IFERROR(INDEX(Materiali!$B:$B,MATCH(D337,Materiali!$A:$A,0)),"codice?"))</f>
        <v/>
      </c>
      <c r="F337" s="13"/>
      <c r="G337" s="13"/>
      <c r="H337" s="9" t="str">
        <f aca="false">IF(D337="","",IFERROR(INDEX(Materiali!$C:$C,MATCH(D337,Materiali!$A:$A,0)),0))</f>
        <v/>
      </c>
      <c r="I337" s="9" t="str">
        <f aca="false">IF(OR(G337="",H337=""),"",IF(F337="Uscita",-1,1)*G337*H337)</f>
        <v/>
      </c>
      <c r="J337" s="13"/>
      <c r="K337" s="13"/>
    </row>
    <row r="338" customFormat="false" ht="15" hidden="false" customHeight="false" outlineLevel="0" collapsed="false">
      <c r="A338" s="12"/>
      <c r="B338" s="13"/>
      <c r="C338" s="13"/>
      <c r="D338" s="13"/>
      <c r="E338" s="7" t="str">
        <f aca="false">IF(D338="","",IFERROR(INDEX(Materiali!$B:$B,MATCH(D338,Materiali!$A:$A,0)),"codice?"))</f>
        <v/>
      </c>
      <c r="F338" s="13"/>
      <c r="G338" s="13"/>
      <c r="H338" s="9" t="str">
        <f aca="false">IF(D338="","",IFERROR(INDEX(Materiali!$C:$C,MATCH(D338,Materiali!$A:$A,0)),0))</f>
        <v/>
      </c>
      <c r="I338" s="9" t="str">
        <f aca="false">IF(OR(G338="",H338=""),"",IF(F338="Uscita",-1,1)*G338*H338)</f>
        <v/>
      </c>
      <c r="J338" s="13"/>
      <c r="K338" s="13"/>
    </row>
    <row r="339" customFormat="false" ht="15" hidden="false" customHeight="false" outlineLevel="0" collapsed="false">
      <c r="A339" s="12"/>
      <c r="B339" s="13"/>
      <c r="C339" s="13"/>
      <c r="D339" s="13"/>
      <c r="E339" s="7" t="str">
        <f aca="false">IF(D339="","",IFERROR(INDEX(Materiali!$B:$B,MATCH(D339,Materiali!$A:$A,0)),"codice?"))</f>
        <v/>
      </c>
      <c r="F339" s="13"/>
      <c r="G339" s="13"/>
      <c r="H339" s="9" t="str">
        <f aca="false">IF(D339="","",IFERROR(INDEX(Materiali!$C:$C,MATCH(D339,Materiali!$A:$A,0)),0))</f>
        <v/>
      </c>
      <c r="I339" s="9" t="str">
        <f aca="false">IF(OR(G339="",H339=""),"",IF(F339="Uscita",-1,1)*G339*H339)</f>
        <v/>
      </c>
      <c r="J339" s="13"/>
      <c r="K339" s="13"/>
    </row>
    <row r="340" customFormat="false" ht="15" hidden="false" customHeight="false" outlineLevel="0" collapsed="false">
      <c r="A340" s="12"/>
      <c r="B340" s="13"/>
      <c r="C340" s="13"/>
      <c r="D340" s="13"/>
      <c r="E340" s="7" t="str">
        <f aca="false">IF(D340="","",IFERROR(INDEX(Materiali!$B:$B,MATCH(D340,Materiali!$A:$A,0)),"codice?"))</f>
        <v/>
      </c>
      <c r="F340" s="13"/>
      <c r="G340" s="13"/>
      <c r="H340" s="9" t="str">
        <f aca="false">IF(D340="","",IFERROR(INDEX(Materiali!$C:$C,MATCH(D340,Materiali!$A:$A,0)),0))</f>
        <v/>
      </c>
      <c r="I340" s="9" t="str">
        <f aca="false">IF(OR(G340="",H340=""),"",IF(F340="Uscita",-1,1)*G340*H340)</f>
        <v/>
      </c>
      <c r="J340" s="13"/>
      <c r="K340" s="13"/>
    </row>
    <row r="341" customFormat="false" ht="15" hidden="false" customHeight="false" outlineLevel="0" collapsed="false">
      <c r="A341" s="12"/>
      <c r="B341" s="13"/>
      <c r="C341" s="13"/>
      <c r="D341" s="13"/>
      <c r="E341" s="7" t="str">
        <f aca="false">IF(D341="","",IFERROR(INDEX(Materiali!$B:$B,MATCH(D341,Materiali!$A:$A,0)),"codice?"))</f>
        <v/>
      </c>
      <c r="F341" s="13"/>
      <c r="G341" s="13"/>
      <c r="H341" s="9" t="str">
        <f aca="false">IF(D341="","",IFERROR(INDEX(Materiali!$C:$C,MATCH(D341,Materiali!$A:$A,0)),0))</f>
        <v/>
      </c>
      <c r="I341" s="9" t="str">
        <f aca="false">IF(OR(G341="",H341=""),"",IF(F341="Uscita",-1,1)*G341*H341)</f>
        <v/>
      </c>
      <c r="J341" s="13"/>
      <c r="K341" s="13"/>
    </row>
    <row r="342" customFormat="false" ht="15" hidden="false" customHeight="false" outlineLevel="0" collapsed="false">
      <c r="A342" s="12"/>
      <c r="B342" s="13"/>
      <c r="C342" s="13"/>
      <c r="D342" s="13"/>
      <c r="E342" s="7" t="str">
        <f aca="false">IF(D342="","",IFERROR(INDEX(Materiali!$B:$B,MATCH(D342,Materiali!$A:$A,0)),"codice?"))</f>
        <v/>
      </c>
      <c r="F342" s="13"/>
      <c r="G342" s="13"/>
      <c r="H342" s="9" t="str">
        <f aca="false">IF(D342="","",IFERROR(INDEX(Materiali!$C:$C,MATCH(D342,Materiali!$A:$A,0)),0))</f>
        <v/>
      </c>
      <c r="I342" s="9" t="str">
        <f aca="false">IF(OR(G342="",H342=""),"",IF(F342="Uscita",-1,1)*G342*H342)</f>
        <v/>
      </c>
      <c r="J342" s="13"/>
      <c r="K342" s="13"/>
    </row>
    <row r="343" customFormat="false" ht="15" hidden="false" customHeight="false" outlineLevel="0" collapsed="false">
      <c r="A343" s="12"/>
      <c r="B343" s="13"/>
      <c r="C343" s="13"/>
      <c r="D343" s="13"/>
      <c r="E343" s="7" t="str">
        <f aca="false">IF(D343="","",IFERROR(INDEX(Materiali!$B:$B,MATCH(D343,Materiali!$A:$A,0)),"codice?"))</f>
        <v/>
      </c>
      <c r="F343" s="13"/>
      <c r="G343" s="13"/>
      <c r="H343" s="9" t="str">
        <f aca="false">IF(D343="","",IFERROR(INDEX(Materiali!$C:$C,MATCH(D343,Materiali!$A:$A,0)),0))</f>
        <v/>
      </c>
      <c r="I343" s="9" t="str">
        <f aca="false">IF(OR(G343="",H343=""),"",IF(F343="Uscita",-1,1)*G343*H343)</f>
        <v/>
      </c>
      <c r="J343" s="13"/>
      <c r="K343" s="13"/>
    </row>
    <row r="344" customFormat="false" ht="15" hidden="false" customHeight="false" outlineLevel="0" collapsed="false">
      <c r="A344" s="12"/>
      <c r="B344" s="13"/>
      <c r="C344" s="13"/>
      <c r="D344" s="13"/>
      <c r="E344" s="7" t="str">
        <f aca="false">IF(D344="","",IFERROR(INDEX(Materiali!$B:$B,MATCH(D344,Materiali!$A:$A,0)),"codice?"))</f>
        <v/>
      </c>
      <c r="F344" s="13"/>
      <c r="G344" s="13"/>
      <c r="H344" s="9" t="str">
        <f aca="false">IF(D344="","",IFERROR(INDEX(Materiali!$C:$C,MATCH(D344,Materiali!$A:$A,0)),0))</f>
        <v/>
      </c>
      <c r="I344" s="9" t="str">
        <f aca="false">IF(OR(G344="",H344=""),"",IF(F344="Uscita",-1,1)*G344*H344)</f>
        <v/>
      </c>
      <c r="J344" s="13"/>
      <c r="K344" s="13"/>
    </row>
    <row r="345" customFormat="false" ht="15" hidden="false" customHeight="false" outlineLevel="0" collapsed="false">
      <c r="A345" s="12"/>
      <c r="B345" s="13"/>
      <c r="C345" s="13"/>
      <c r="D345" s="13"/>
      <c r="E345" s="7" t="str">
        <f aca="false">IF(D345="","",IFERROR(INDEX(Materiali!$B:$B,MATCH(D345,Materiali!$A:$A,0)),"codice?"))</f>
        <v/>
      </c>
      <c r="F345" s="13"/>
      <c r="G345" s="13"/>
      <c r="H345" s="9" t="str">
        <f aca="false">IF(D345="","",IFERROR(INDEX(Materiali!$C:$C,MATCH(D345,Materiali!$A:$A,0)),0))</f>
        <v/>
      </c>
      <c r="I345" s="9" t="str">
        <f aca="false">IF(OR(G345="",H345=""),"",IF(F345="Uscita",-1,1)*G345*H345)</f>
        <v/>
      </c>
      <c r="J345" s="13"/>
      <c r="K345" s="13"/>
    </row>
    <row r="346" customFormat="false" ht="15" hidden="false" customHeight="false" outlineLevel="0" collapsed="false">
      <c r="A346" s="12"/>
      <c r="B346" s="13"/>
      <c r="C346" s="13"/>
      <c r="D346" s="13"/>
      <c r="E346" s="7" t="str">
        <f aca="false">IF(D346="","",IFERROR(INDEX(Materiali!$B:$B,MATCH(D346,Materiali!$A:$A,0)),"codice?"))</f>
        <v/>
      </c>
      <c r="F346" s="13"/>
      <c r="G346" s="13"/>
      <c r="H346" s="9" t="str">
        <f aca="false">IF(D346="","",IFERROR(INDEX(Materiali!$C:$C,MATCH(D346,Materiali!$A:$A,0)),0))</f>
        <v/>
      </c>
      <c r="I346" s="9" t="str">
        <f aca="false">IF(OR(G346="",H346=""),"",IF(F346="Uscita",-1,1)*G346*H346)</f>
        <v/>
      </c>
      <c r="J346" s="13"/>
      <c r="K346" s="13"/>
    </row>
    <row r="347" customFormat="false" ht="15" hidden="false" customHeight="false" outlineLevel="0" collapsed="false">
      <c r="A347" s="12"/>
      <c r="B347" s="13"/>
      <c r="C347" s="13"/>
      <c r="D347" s="13"/>
      <c r="E347" s="7" t="str">
        <f aca="false">IF(D347="","",IFERROR(INDEX(Materiali!$B:$B,MATCH(D347,Materiali!$A:$A,0)),"codice?"))</f>
        <v/>
      </c>
      <c r="F347" s="13"/>
      <c r="G347" s="13"/>
      <c r="H347" s="9" t="str">
        <f aca="false">IF(D347="","",IFERROR(INDEX(Materiali!$C:$C,MATCH(D347,Materiali!$A:$A,0)),0))</f>
        <v/>
      </c>
      <c r="I347" s="9" t="str">
        <f aca="false">IF(OR(G347="",H347=""),"",IF(F347="Uscita",-1,1)*G347*H347)</f>
        <v/>
      </c>
      <c r="J347" s="13"/>
      <c r="K347" s="13"/>
    </row>
    <row r="348" customFormat="false" ht="15" hidden="false" customHeight="false" outlineLevel="0" collapsed="false">
      <c r="A348" s="12"/>
      <c r="B348" s="13"/>
      <c r="C348" s="13"/>
      <c r="D348" s="13"/>
      <c r="E348" s="7" t="str">
        <f aca="false">IF(D348="","",IFERROR(INDEX(Materiali!$B:$B,MATCH(D348,Materiali!$A:$A,0)),"codice?"))</f>
        <v/>
      </c>
      <c r="F348" s="13"/>
      <c r="G348" s="13"/>
      <c r="H348" s="9" t="str">
        <f aca="false">IF(D348="","",IFERROR(INDEX(Materiali!$C:$C,MATCH(D348,Materiali!$A:$A,0)),0))</f>
        <v/>
      </c>
      <c r="I348" s="9" t="str">
        <f aca="false">IF(OR(G348="",H348=""),"",IF(F348="Uscita",-1,1)*G348*H348)</f>
        <v/>
      </c>
      <c r="J348" s="13"/>
      <c r="K348" s="13"/>
    </row>
    <row r="349" customFormat="false" ht="15" hidden="false" customHeight="false" outlineLevel="0" collapsed="false">
      <c r="A349" s="12"/>
      <c r="B349" s="13"/>
      <c r="C349" s="13"/>
      <c r="D349" s="13"/>
      <c r="E349" s="7" t="str">
        <f aca="false">IF(D349="","",IFERROR(INDEX(Materiali!$B:$B,MATCH(D349,Materiali!$A:$A,0)),"codice?"))</f>
        <v/>
      </c>
      <c r="F349" s="13"/>
      <c r="G349" s="13"/>
      <c r="H349" s="9" t="str">
        <f aca="false">IF(D349="","",IFERROR(INDEX(Materiali!$C:$C,MATCH(D349,Materiali!$A:$A,0)),0))</f>
        <v/>
      </c>
      <c r="I349" s="9" t="str">
        <f aca="false">IF(OR(G349="",H349=""),"",IF(F349="Uscita",-1,1)*G349*H349)</f>
        <v/>
      </c>
      <c r="J349" s="13"/>
      <c r="K349" s="13"/>
    </row>
    <row r="350" customFormat="false" ht="15" hidden="false" customHeight="false" outlineLevel="0" collapsed="false">
      <c r="A350" s="12"/>
      <c r="B350" s="13"/>
      <c r="C350" s="13"/>
      <c r="D350" s="13"/>
      <c r="E350" s="7" t="str">
        <f aca="false">IF(D350="","",IFERROR(INDEX(Materiali!$B:$B,MATCH(D350,Materiali!$A:$A,0)),"codice?"))</f>
        <v/>
      </c>
      <c r="F350" s="13"/>
      <c r="G350" s="13"/>
      <c r="H350" s="9" t="str">
        <f aca="false">IF(D350="","",IFERROR(INDEX(Materiali!$C:$C,MATCH(D350,Materiali!$A:$A,0)),0))</f>
        <v/>
      </c>
      <c r="I350" s="9" t="str">
        <f aca="false">IF(OR(G350="",H350=""),"",IF(F350="Uscita",-1,1)*G350*H350)</f>
        <v/>
      </c>
      <c r="J350" s="13"/>
      <c r="K350" s="13"/>
    </row>
    <row r="351" customFormat="false" ht="15" hidden="false" customHeight="false" outlineLevel="0" collapsed="false">
      <c r="A351" s="12"/>
      <c r="B351" s="13"/>
      <c r="C351" s="13"/>
      <c r="D351" s="13"/>
      <c r="E351" s="7" t="str">
        <f aca="false">IF(D351="","",IFERROR(INDEX(Materiali!$B:$B,MATCH(D351,Materiali!$A:$A,0)),"codice?"))</f>
        <v/>
      </c>
      <c r="F351" s="13"/>
      <c r="G351" s="13"/>
      <c r="H351" s="9" t="str">
        <f aca="false">IF(D351="","",IFERROR(INDEX(Materiali!$C:$C,MATCH(D351,Materiali!$A:$A,0)),0))</f>
        <v/>
      </c>
      <c r="I351" s="9" t="str">
        <f aca="false">IF(OR(G351="",H351=""),"",IF(F351="Uscita",-1,1)*G351*H351)</f>
        <v/>
      </c>
      <c r="J351" s="13"/>
      <c r="K351" s="13"/>
    </row>
    <row r="352" customFormat="false" ht="15" hidden="false" customHeight="false" outlineLevel="0" collapsed="false">
      <c r="A352" s="12"/>
      <c r="B352" s="13"/>
      <c r="C352" s="13"/>
      <c r="D352" s="13"/>
      <c r="E352" s="7" t="str">
        <f aca="false">IF(D352="","",IFERROR(INDEX(Materiali!$B:$B,MATCH(D352,Materiali!$A:$A,0)),"codice?"))</f>
        <v/>
      </c>
      <c r="F352" s="13"/>
      <c r="G352" s="13"/>
      <c r="H352" s="9" t="str">
        <f aca="false">IF(D352="","",IFERROR(INDEX(Materiali!$C:$C,MATCH(D352,Materiali!$A:$A,0)),0))</f>
        <v/>
      </c>
      <c r="I352" s="9" t="str">
        <f aca="false">IF(OR(G352="",H352=""),"",IF(F352="Uscita",-1,1)*G352*H352)</f>
        <v/>
      </c>
      <c r="J352" s="13"/>
      <c r="K352" s="13"/>
    </row>
    <row r="353" customFormat="false" ht="15" hidden="false" customHeight="false" outlineLevel="0" collapsed="false">
      <c r="A353" s="12"/>
      <c r="B353" s="13"/>
      <c r="C353" s="13"/>
      <c r="D353" s="13"/>
      <c r="E353" s="7" t="str">
        <f aca="false">IF(D353="","",IFERROR(INDEX(Materiali!$B:$B,MATCH(D353,Materiali!$A:$A,0)),"codice?"))</f>
        <v/>
      </c>
      <c r="F353" s="13"/>
      <c r="G353" s="13"/>
      <c r="H353" s="9" t="str">
        <f aca="false">IF(D353="","",IFERROR(INDEX(Materiali!$C:$C,MATCH(D353,Materiali!$A:$A,0)),0))</f>
        <v/>
      </c>
      <c r="I353" s="9" t="str">
        <f aca="false">IF(OR(G353="",H353=""),"",IF(F353="Uscita",-1,1)*G353*H353)</f>
        <v/>
      </c>
      <c r="J353" s="13"/>
      <c r="K353" s="13"/>
    </row>
    <row r="354" customFormat="false" ht="15" hidden="false" customHeight="false" outlineLevel="0" collapsed="false">
      <c r="A354" s="12"/>
      <c r="B354" s="13"/>
      <c r="C354" s="13"/>
      <c r="D354" s="13"/>
      <c r="E354" s="7" t="str">
        <f aca="false">IF(D354="","",IFERROR(INDEX(Materiali!$B:$B,MATCH(D354,Materiali!$A:$A,0)),"codice?"))</f>
        <v/>
      </c>
      <c r="F354" s="13"/>
      <c r="G354" s="13"/>
      <c r="H354" s="9" t="str">
        <f aca="false">IF(D354="","",IFERROR(INDEX(Materiali!$C:$C,MATCH(D354,Materiali!$A:$A,0)),0))</f>
        <v/>
      </c>
      <c r="I354" s="9" t="str">
        <f aca="false">IF(OR(G354="",H354=""),"",IF(F354="Uscita",-1,1)*G354*H354)</f>
        <v/>
      </c>
      <c r="J354" s="13"/>
      <c r="K354" s="13"/>
    </row>
    <row r="355" customFormat="false" ht="15" hidden="false" customHeight="false" outlineLevel="0" collapsed="false">
      <c r="A355" s="12"/>
      <c r="B355" s="13"/>
      <c r="C355" s="13"/>
      <c r="D355" s="13"/>
      <c r="E355" s="7" t="str">
        <f aca="false">IF(D355="","",IFERROR(INDEX(Materiali!$B:$B,MATCH(D355,Materiali!$A:$A,0)),"codice?"))</f>
        <v/>
      </c>
      <c r="F355" s="13"/>
      <c r="G355" s="13"/>
      <c r="H355" s="9" t="str">
        <f aca="false">IF(D355="","",IFERROR(INDEX(Materiali!$C:$C,MATCH(D355,Materiali!$A:$A,0)),0))</f>
        <v/>
      </c>
      <c r="I355" s="9" t="str">
        <f aca="false">IF(OR(G355="",H355=""),"",IF(F355="Uscita",-1,1)*G355*H355)</f>
        <v/>
      </c>
      <c r="J355" s="13"/>
      <c r="K355" s="13"/>
    </row>
    <row r="356" customFormat="false" ht="15" hidden="false" customHeight="false" outlineLevel="0" collapsed="false">
      <c r="A356" s="12"/>
      <c r="B356" s="13"/>
      <c r="C356" s="13"/>
      <c r="D356" s="13"/>
      <c r="E356" s="7" t="str">
        <f aca="false">IF(D356="","",IFERROR(INDEX(Materiali!$B:$B,MATCH(D356,Materiali!$A:$A,0)),"codice?"))</f>
        <v/>
      </c>
      <c r="F356" s="13"/>
      <c r="G356" s="13"/>
      <c r="H356" s="9" t="str">
        <f aca="false">IF(D356="","",IFERROR(INDEX(Materiali!$C:$C,MATCH(D356,Materiali!$A:$A,0)),0))</f>
        <v/>
      </c>
      <c r="I356" s="9" t="str">
        <f aca="false">IF(OR(G356="",H356=""),"",IF(F356="Uscita",-1,1)*G356*H356)</f>
        <v/>
      </c>
      <c r="J356" s="13"/>
      <c r="K356" s="13"/>
    </row>
    <row r="357" customFormat="false" ht="15" hidden="false" customHeight="false" outlineLevel="0" collapsed="false">
      <c r="A357" s="12"/>
      <c r="B357" s="13"/>
      <c r="C357" s="13"/>
      <c r="D357" s="13"/>
      <c r="E357" s="7" t="str">
        <f aca="false">IF(D357="","",IFERROR(INDEX(Materiali!$B:$B,MATCH(D357,Materiali!$A:$A,0)),"codice?"))</f>
        <v/>
      </c>
      <c r="F357" s="13"/>
      <c r="G357" s="13"/>
      <c r="H357" s="9" t="str">
        <f aca="false">IF(D357="","",IFERROR(INDEX(Materiali!$C:$C,MATCH(D357,Materiali!$A:$A,0)),0))</f>
        <v/>
      </c>
      <c r="I357" s="9" t="str">
        <f aca="false">IF(OR(G357="",H357=""),"",IF(F357="Uscita",-1,1)*G357*H357)</f>
        <v/>
      </c>
      <c r="J357" s="13"/>
      <c r="K357" s="13"/>
    </row>
    <row r="358" customFormat="false" ht="15" hidden="false" customHeight="false" outlineLevel="0" collapsed="false">
      <c r="A358" s="12"/>
      <c r="B358" s="13"/>
      <c r="C358" s="13"/>
      <c r="D358" s="13"/>
      <c r="E358" s="7" t="str">
        <f aca="false">IF(D358="","",IFERROR(INDEX(Materiali!$B:$B,MATCH(D358,Materiali!$A:$A,0)),"codice?"))</f>
        <v/>
      </c>
      <c r="F358" s="13"/>
      <c r="G358" s="13"/>
      <c r="H358" s="9" t="str">
        <f aca="false">IF(D358="","",IFERROR(INDEX(Materiali!$C:$C,MATCH(D358,Materiali!$A:$A,0)),0))</f>
        <v/>
      </c>
      <c r="I358" s="9" t="str">
        <f aca="false">IF(OR(G358="",H358=""),"",IF(F358="Uscita",-1,1)*G358*H358)</f>
        <v/>
      </c>
      <c r="J358" s="13"/>
      <c r="K358" s="13"/>
    </row>
    <row r="359" customFormat="false" ht="15" hidden="false" customHeight="false" outlineLevel="0" collapsed="false">
      <c r="A359" s="12"/>
      <c r="B359" s="13"/>
      <c r="C359" s="13"/>
      <c r="D359" s="13"/>
      <c r="E359" s="7" t="str">
        <f aca="false">IF(D359="","",IFERROR(INDEX(Materiali!$B:$B,MATCH(D359,Materiali!$A:$A,0)),"codice?"))</f>
        <v/>
      </c>
      <c r="F359" s="13"/>
      <c r="G359" s="13"/>
      <c r="H359" s="9" t="str">
        <f aca="false">IF(D359="","",IFERROR(INDEX(Materiali!$C:$C,MATCH(D359,Materiali!$A:$A,0)),0))</f>
        <v/>
      </c>
      <c r="I359" s="9" t="str">
        <f aca="false">IF(OR(G359="",H359=""),"",IF(F359="Uscita",-1,1)*G359*H359)</f>
        <v/>
      </c>
      <c r="J359" s="13"/>
      <c r="K359" s="13"/>
    </row>
    <row r="360" customFormat="false" ht="15" hidden="false" customHeight="false" outlineLevel="0" collapsed="false">
      <c r="A360" s="12"/>
      <c r="B360" s="13"/>
      <c r="C360" s="13"/>
      <c r="D360" s="13"/>
      <c r="E360" s="7" t="str">
        <f aca="false">IF(D360="","",IFERROR(INDEX(Materiali!$B:$B,MATCH(D360,Materiali!$A:$A,0)),"codice?"))</f>
        <v/>
      </c>
      <c r="F360" s="13"/>
      <c r="G360" s="13"/>
      <c r="H360" s="9" t="str">
        <f aca="false">IF(D360="","",IFERROR(INDEX(Materiali!$C:$C,MATCH(D360,Materiali!$A:$A,0)),0))</f>
        <v/>
      </c>
      <c r="I360" s="9" t="str">
        <f aca="false">IF(OR(G360="",H360=""),"",IF(F360="Uscita",-1,1)*G360*H360)</f>
        <v/>
      </c>
      <c r="J360" s="13"/>
      <c r="K360" s="13"/>
    </row>
    <row r="361" customFormat="false" ht="15" hidden="false" customHeight="false" outlineLevel="0" collapsed="false">
      <c r="A361" s="12"/>
      <c r="B361" s="13"/>
      <c r="C361" s="13"/>
      <c r="D361" s="13"/>
      <c r="E361" s="7" t="str">
        <f aca="false">IF(D361="","",IFERROR(INDEX(Materiali!$B:$B,MATCH(D361,Materiali!$A:$A,0)),"codice?"))</f>
        <v/>
      </c>
      <c r="F361" s="13"/>
      <c r="G361" s="13"/>
      <c r="H361" s="9" t="str">
        <f aca="false">IF(D361="","",IFERROR(INDEX(Materiali!$C:$C,MATCH(D361,Materiali!$A:$A,0)),0))</f>
        <v/>
      </c>
      <c r="I361" s="9" t="str">
        <f aca="false">IF(OR(G361="",H361=""),"",IF(F361="Uscita",-1,1)*G361*H361)</f>
        <v/>
      </c>
      <c r="J361" s="13"/>
      <c r="K361" s="13"/>
    </row>
    <row r="362" customFormat="false" ht="15" hidden="false" customHeight="false" outlineLevel="0" collapsed="false">
      <c r="A362" s="12"/>
      <c r="B362" s="13"/>
      <c r="C362" s="13"/>
      <c r="D362" s="13"/>
      <c r="E362" s="7" t="str">
        <f aca="false">IF(D362="","",IFERROR(INDEX(Materiali!$B:$B,MATCH(D362,Materiali!$A:$A,0)),"codice?"))</f>
        <v/>
      </c>
      <c r="F362" s="13"/>
      <c r="G362" s="13"/>
      <c r="H362" s="9" t="str">
        <f aca="false">IF(D362="","",IFERROR(INDEX(Materiali!$C:$C,MATCH(D362,Materiali!$A:$A,0)),0))</f>
        <v/>
      </c>
      <c r="I362" s="9" t="str">
        <f aca="false">IF(OR(G362="",H362=""),"",IF(F362="Uscita",-1,1)*G362*H362)</f>
        <v/>
      </c>
      <c r="J362" s="13"/>
      <c r="K362" s="13"/>
    </row>
    <row r="363" customFormat="false" ht="15" hidden="false" customHeight="false" outlineLevel="0" collapsed="false">
      <c r="A363" s="12"/>
      <c r="B363" s="13"/>
      <c r="C363" s="13"/>
      <c r="D363" s="13"/>
      <c r="E363" s="7" t="str">
        <f aca="false">IF(D363="","",IFERROR(INDEX(Materiali!$B:$B,MATCH(D363,Materiali!$A:$A,0)),"codice?"))</f>
        <v/>
      </c>
      <c r="F363" s="13"/>
      <c r="G363" s="13"/>
      <c r="H363" s="9" t="str">
        <f aca="false">IF(D363="","",IFERROR(INDEX(Materiali!$C:$C,MATCH(D363,Materiali!$A:$A,0)),0))</f>
        <v/>
      </c>
      <c r="I363" s="9" t="str">
        <f aca="false">IF(OR(G363="",H363=""),"",IF(F363="Uscita",-1,1)*G363*H363)</f>
        <v/>
      </c>
      <c r="J363" s="13"/>
      <c r="K363" s="13"/>
    </row>
    <row r="364" customFormat="false" ht="15" hidden="false" customHeight="false" outlineLevel="0" collapsed="false">
      <c r="A364" s="12"/>
      <c r="B364" s="13"/>
      <c r="C364" s="13"/>
      <c r="D364" s="13"/>
      <c r="E364" s="7" t="str">
        <f aca="false">IF(D364="","",IFERROR(INDEX(Materiali!$B:$B,MATCH(D364,Materiali!$A:$A,0)),"codice?"))</f>
        <v/>
      </c>
      <c r="F364" s="13"/>
      <c r="G364" s="13"/>
      <c r="H364" s="9" t="str">
        <f aca="false">IF(D364="","",IFERROR(INDEX(Materiali!$C:$C,MATCH(D364,Materiali!$A:$A,0)),0))</f>
        <v/>
      </c>
      <c r="I364" s="9" t="str">
        <f aca="false">IF(OR(G364="",H364=""),"",IF(F364="Uscita",-1,1)*G364*H364)</f>
        <v/>
      </c>
      <c r="J364" s="13"/>
      <c r="K364" s="13"/>
    </row>
    <row r="365" customFormat="false" ht="15" hidden="false" customHeight="false" outlineLevel="0" collapsed="false">
      <c r="A365" s="12"/>
      <c r="B365" s="13"/>
      <c r="C365" s="13"/>
      <c r="D365" s="13"/>
      <c r="E365" s="7" t="str">
        <f aca="false">IF(D365="","",IFERROR(INDEX(Materiali!$B:$B,MATCH(D365,Materiali!$A:$A,0)),"codice?"))</f>
        <v/>
      </c>
      <c r="F365" s="13"/>
      <c r="G365" s="13"/>
      <c r="H365" s="9" t="str">
        <f aca="false">IF(D365="","",IFERROR(INDEX(Materiali!$C:$C,MATCH(D365,Materiali!$A:$A,0)),0))</f>
        <v/>
      </c>
      <c r="I365" s="9" t="str">
        <f aca="false">IF(OR(G365="",H365=""),"",IF(F365="Uscita",-1,1)*G365*H365)</f>
        <v/>
      </c>
      <c r="J365" s="13"/>
      <c r="K365" s="13"/>
    </row>
    <row r="366" customFormat="false" ht="15" hidden="false" customHeight="false" outlineLevel="0" collapsed="false">
      <c r="A366" s="12"/>
      <c r="B366" s="13"/>
      <c r="C366" s="13"/>
      <c r="D366" s="13"/>
      <c r="E366" s="7" t="str">
        <f aca="false">IF(D366="","",IFERROR(INDEX(Materiali!$B:$B,MATCH(D366,Materiali!$A:$A,0)),"codice?"))</f>
        <v/>
      </c>
      <c r="F366" s="13"/>
      <c r="G366" s="13"/>
      <c r="H366" s="9" t="str">
        <f aca="false">IF(D366="","",IFERROR(INDEX(Materiali!$C:$C,MATCH(D366,Materiali!$A:$A,0)),0))</f>
        <v/>
      </c>
      <c r="I366" s="9" t="str">
        <f aca="false">IF(OR(G366="",H366=""),"",IF(F366="Uscita",-1,1)*G366*H366)</f>
        <v/>
      </c>
      <c r="J366" s="13"/>
      <c r="K366" s="13"/>
    </row>
    <row r="367" customFormat="false" ht="15" hidden="false" customHeight="false" outlineLevel="0" collapsed="false">
      <c r="A367" s="12"/>
      <c r="B367" s="13"/>
      <c r="C367" s="13"/>
      <c r="D367" s="13"/>
      <c r="E367" s="7" t="str">
        <f aca="false">IF(D367="","",IFERROR(INDEX(Materiali!$B:$B,MATCH(D367,Materiali!$A:$A,0)),"codice?"))</f>
        <v/>
      </c>
      <c r="F367" s="13"/>
      <c r="G367" s="13"/>
      <c r="H367" s="9" t="str">
        <f aca="false">IF(D367="","",IFERROR(INDEX(Materiali!$C:$C,MATCH(D367,Materiali!$A:$A,0)),0))</f>
        <v/>
      </c>
      <c r="I367" s="9" t="str">
        <f aca="false">IF(OR(G367="",H367=""),"",IF(F367="Uscita",-1,1)*G367*H367)</f>
        <v/>
      </c>
      <c r="J367" s="13"/>
      <c r="K367" s="13"/>
    </row>
    <row r="368" customFormat="false" ht="15" hidden="false" customHeight="false" outlineLevel="0" collapsed="false">
      <c r="A368" s="12"/>
      <c r="B368" s="13"/>
      <c r="C368" s="13"/>
      <c r="D368" s="13"/>
      <c r="E368" s="7" t="str">
        <f aca="false">IF(D368="","",IFERROR(INDEX(Materiali!$B:$B,MATCH(D368,Materiali!$A:$A,0)),"codice?"))</f>
        <v/>
      </c>
      <c r="F368" s="13"/>
      <c r="G368" s="13"/>
      <c r="H368" s="9" t="str">
        <f aca="false">IF(D368="","",IFERROR(INDEX(Materiali!$C:$C,MATCH(D368,Materiali!$A:$A,0)),0))</f>
        <v/>
      </c>
      <c r="I368" s="9" t="str">
        <f aca="false">IF(OR(G368="",H368=""),"",IF(F368="Uscita",-1,1)*G368*H368)</f>
        <v/>
      </c>
      <c r="J368" s="13"/>
      <c r="K368" s="13"/>
    </row>
    <row r="369" customFormat="false" ht="15" hidden="false" customHeight="false" outlineLevel="0" collapsed="false">
      <c r="A369" s="12"/>
      <c r="B369" s="13"/>
      <c r="C369" s="13"/>
      <c r="D369" s="13"/>
      <c r="E369" s="7" t="str">
        <f aca="false">IF(D369="","",IFERROR(INDEX(Materiali!$B:$B,MATCH(D369,Materiali!$A:$A,0)),"codice?"))</f>
        <v/>
      </c>
      <c r="F369" s="13"/>
      <c r="G369" s="13"/>
      <c r="H369" s="9" t="str">
        <f aca="false">IF(D369="","",IFERROR(INDEX(Materiali!$C:$C,MATCH(D369,Materiali!$A:$A,0)),0))</f>
        <v/>
      </c>
      <c r="I369" s="9" t="str">
        <f aca="false">IF(OR(G369="",H369=""),"",IF(F369="Uscita",-1,1)*G369*H369)</f>
        <v/>
      </c>
      <c r="J369" s="13"/>
      <c r="K369" s="13"/>
    </row>
    <row r="370" customFormat="false" ht="15" hidden="false" customHeight="false" outlineLevel="0" collapsed="false">
      <c r="A370" s="12"/>
      <c r="B370" s="13"/>
      <c r="C370" s="13"/>
      <c r="D370" s="13"/>
      <c r="E370" s="7" t="str">
        <f aca="false">IF(D370="","",IFERROR(INDEX(Materiali!$B:$B,MATCH(D370,Materiali!$A:$A,0)),"codice?"))</f>
        <v/>
      </c>
      <c r="F370" s="13"/>
      <c r="G370" s="13"/>
      <c r="H370" s="9" t="str">
        <f aca="false">IF(D370="","",IFERROR(INDEX(Materiali!$C:$C,MATCH(D370,Materiali!$A:$A,0)),0))</f>
        <v/>
      </c>
      <c r="I370" s="9" t="str">
        <f aca="false">IF(OR(G370="",H370=""),"",IF(F370="Uscita",-1,1)*G370*H370)</f>
        <v/>
      </c>
      <c r="J370" s="13"/>
      <c r="K370" s="13"/>
    </row>
    <row r="371" customFormat="false" ht="15" hidden="false" customHeight="false" outlineLevel="0" collapsed="false">
      <c r="A371" s="12"/>
      <c r="B371" s="13"/>
      <c r="C371" s="13"/>
      <c r="D371" s="13"/>
      <c r="E371" s="7" t="str">
        <f aca="false">IF(D371="","",IFERROR(INDEX(Materiali!$B:$B,MATCH(D371,Materiali!$A:$A,0)),"codice?"))</f>
        <v/>
      </c>
      <c r="F371" s="13"/>
      <c r="G371" s="13"/>
      <c r="H371" s="9" t="str">
        <f aca="false">IF(D371="","",IFERROR(INDEX(Materiali!$C:$C,MATCH(D371,Materiali!$A:$A,0)),0))</f>
        <v/>
      </c>
      <c r="I371" s="9" t="str">
        <f aca="false">IF(OR(G371="",H371=""),"",IF(F371="Uscita",-1,1)*G371*H371)</f>
        <v/>
      </c>
      <c r="J371" s="13"/>
      <c r="K371" s="13"/>
    </row>
    <row r="372" customFormat="false" ht="15" hidden="false" customHeight="false" outlineLevel="0" collapsed="false">
      <c r="A372" s="12"/>
      <c r="B372" s="13"/>
      <c r="C372" s="13"/>
      <c r="D372" s="13"/>
      <c r="E372" s="7" t="str">
        <f aca="false">IF(D372="","",IFERROR(INDEX(Materiali!$B:$B,MATCH(D372,Materiali!$A:$A,0)),"codice?"))</f>
        <v/>
      </c>
      <c r="F372" s="13"/>
      <c r="G372" s="13"/>
      <c r="H372" s="9" t="str">
        <f aca="false">IF(D372="","",IFERROR(INDEX(Materiali!$C:$C,MATCH(D372,Materiali!$A:$A,0)),0))</f>
        <v/>
      </c>
      <c r="I372" s="9" t="str">
        <f aca="false">IF(OR(G372="",H372=""),"",IF(F372="Uscita",-1,1)*G372*H372)</f>
        <v/>
      </c>
      <c r="J372" s="13"/>
      <c r="K372" s="13"/>
    </row>
    <row r="373" customFormat="false" ht="15" hidden="false" customHeight="false" outlineLevel="0" collapsed="false">
      <c r="A373" s="12"/>
      <c r="B373" s="13"/>
      <c r="C373" s="13"/>
      <c r="D373" s="13"/>
      <c r="E373" s="7" t="str">
        <f aca="false">IF(D373="","",IFERROR(INDEX(Materiali!$B:$B,MATCH(D373,Materiali!$A:$A,0)),"codice?"))</f>
        <v/>
      </c>
      <c r="F373" s="13"/>
      <c r="G373" s="13"/>
      <c r="H373" s="9" t="str">
        <f aca="false">IF(D373="","",IFERROR(INDEX(Materiali!$C:$C,MATCH(D373,Materiali!$A:$A,0)),0))</f>
        <v/>
      </c>
      <c r="I373" s="9" t="str">
        <f aca="false">IF(OR(G373="",H373=""),"",IF(F373="Uscita",-1,1)*G373*H373)</f>
        <v/>
      </c>
      <c r="J373" s="13"/>
      <c r="K373" s="13"/>
    </row>
    <row r="374" customFormat="false" ht="15" hidden="false" customHeight="false" outlineLevel="0" collapsed="false">
      <c r="A374" s="12"/>
      <c r="B374" s="13"/>
      <c r="C374" s="13"/>
      <c r="D374" s="13"/>
      <c r="E374" s="7" t="str">
        <f aca="false">IF(D374="","",IFERROR(INDEX(Materiali!$B:$B,MATCH(D374,Materiali!$A:$A,0)),"codice?"))</f>
        <v/>
      </c>
      <c r="F374" s="13"/>
      <c r="G374" s="13"/>
      <c r="H374" s="9" t="str">
        <f aca="false">IF(D374="","",IFERROR(INDEX(Materiali!$C:$C,MATCH(D374,Materiali!$A:$A,0)),0))</f>
        <v/>
      </c>
      <c r="I374" s="9" t="str">
        <f aca="false">IF(OR(G374="",H374=""),"",IF(F374="Uscita",-1,1)*G374*H374)</f>
        <v/>
      </c>
      <c r="J374" s="13"/>
      <c r="K374" s="13"/>
    </row>
    <row r="375" customFormat="false" ht="15" hidden="false" customHeight="false" outlineLevel="0" collapsed="false">
      <c r="A375" s="12"/>
      <c r="B375" s="13"/>
      <c r="C375" s="13"/>
      <c r="D375" s="13"/>
      <c r="E375" s="7" t="str">
        <f aca="false">IF(D375="","",IFERROR(INDEX(Materiali!$B:$B,MATCH(D375,Materiali!$A:$A,0)),"codice?"))</f>
        <v/>
      </c>
      <c r="F375" s="13"/>
      <c r="G375" s="13"/>
      <c r="H375" s="9" t="str">
        <f aca="false">IF(D375="","",IFERROR(INDEX(Materiali!$C:$C,MATCH(D375,Materiali!$A:$A,0)),0))</f>
        <v/>
      </c>
      <c r="I375" s="9" t="str">
        <f aca="false">IF(OR(G375="",H375=""),"",IF(F375="Uscita",-1,1)*G375*H375)</f>
        <v/>
      </c>
      <c r="J375" s="13"/>
      <c r="K375" s="13"/>
    </row>
    <row r="376" customFormat="false" ht="15" hidden="false" customHeight="false" outlineLevel="0" collapsed="false">
      <c r="A376" s="12"/>
      <c r="B376" s="13"/>
      <c r="C376" s="13"/>
      <c r="D376" s="13"/>
      <c r="E376" s="7" t="str">
        <f aca="false">IF(D376="","",IFERROR(INDEX(Materiali!$B:$B,MATCH(D376,Materiali!$A:$A,0)),"codice?"))</f>
        <v/>
      </c>
      <c r="F376" s="13"/>
      <c r="G376" s="13"/>
      <c r="H376" s="9" t="str">
        <f aca="false">IF(D376="","",IFERROR(INDEX(Materiali!$C:$C,MATCH(D376,Materiali!$A:$A,0)),0))</f>
        <v/>
      </c>
      <c r="I376" s="9" t="str">
        <f aca="false">IF(OR(G376="",H376=""),"",IF(F376="Uscita",-1,1)*G376*H376)</f>
        <v/>
      </c>
      <c r="J376" s="13"/>
      <c r="K376" s="13"/>
    </row>
    <row r="377" customFormat="false" ht="15" hidden="false" customHeight="false" outlineLevel="0" collapsed="false">
      <c r="A377" s="12"/>
      <c r="B377" s="13"/>
      <c r="C377" s="13"/>
      <c r="D377" s="13"/>
      <c r="E377" s="7" t="str">
        <f aca="false">IF(D377="","",IFERROR(INDEX(Materiali!$B:$B,MATCH(D377,Materiali!$A:$A,0)),"codice?"))</f>
        <v/>
      </c>
      <c r="F377" s="13"/>
      <c r="G377" s="13"/>
      <c r="H377" s="9" t="str">
        <f aca="false">IF(D377="","",IFERROR(INDEX(Materiali!$C:$C,MATCH(D377,Materiali!$A:$A,0)),0))</f>
        <v/>
      </c>
      <c r="I377" s="9" t="str">
        <f aca="false">IF(OR(G377="",H377=""),"",IF(F377="Uscita",-1,1)*G377*H377)</f>
        <v/>
      </c>
      <c r="J377" s="13"/>
      <c r="K377" s="13"/>
    </row>
    <row r="378" customFormat="false" ht="15" hidden="false" customHeight="false" outlineLevel="0" collapsed="false">
      <c r="A378" s="12"/>
      <c r="B378" s="13"/>
      <c r="C378" s="13"/>
      <c r="D378" s="13"/>
      <c r="E378" s="7" t="str">
        <f aca="false">IF(D378="","",IFERROR(INDEX(Materiali!$B:$B,MATCH(D378,Materiali!$A:$A,0)),"codice?"))</f>
        <v/>
      </c>
      <c r="F378" s="13"/>
      <c r="G378" s="13"/>
      <c r="H378" s="9" t="str">
        <f aca="false">IF(D378="","",IFERROR(INDEX(Materiali!$C:$C,MATCH(D378,Materiali!$A:$A,0)),0))</f>
        <v/>
      </c>
      <c r="I378" s="9" t="str">
        <f aca="false">IF(OR(G378="",H378=""),"",IF(F378="Uscita",-1,1)*G378*H378)</f>
        <v/>
      </c>
      <c r="J378" s="13"/>
      <c r="K378" s="13"/>
    </row>
    <row r="379" customFormat="false" ht="15" hidden="false" customHeight="false" outlineLevel="0" collapsed="false">
      <c r="A379" s="12"/>
      <c r="B379" s="13"/>
      <c r="C379" s="13"/>
      <c r="D379" s="13"/>
      <c r="E379" s="7" t="str">
        <f aca="false">IF(D379="","",IFERROR(INDEX(Materiali!$B:$B,MATCH(D379,Materiali!$A:$A,0)),"codice?"))</f>
        <v/>
      </c>
      <c r="F379" s="13"/>
      <c r="G379" s="13"/>
      <c r="H379" s="9" t="str">
        <f aca="false">IF(D379="","",IFERROR(INDEX(Materiali!$C:$C,MATCH(D379,Materiali!$A:$A,0)),0))</f>
        <v/>
      </c>
      <c r="I379" s="9" t="str">
        <f aca="false">IF(OR(G379="",H379=""),"",IF(F379="Uscita",-1,1)*G379*H379)</f>
        <v/>
      </c>
      <c r="J379" s="13"/>
      <c r="K379" s="13"/>
    </row>
    <row r="380" customFormat="false" ht="15" hidden="false" customHeight="false" outlineLevel="0" collapsed="false">
      <c r="A380" s="12"/>
      <c r="B380" s="13"/>
      <c r="C380" s="13"/>
      <c r="D380" s="13"/>
      <c r="E380" s="7" t="str">
        <f aca="false">IF(D380="","",IFERROR(INDEX(Materiali!$B:$B,MATCH(D380,Materiali!$A:$A,0)),"codice?"))</f>
        <v/>
      </c>
      <c r="F380" s="13"/>
      <c r="G380" s="13"/>
      <c r="H380" s="9" t="str">
        <f aca="false">IF(D380="","",IFERROR(INDEX(Materiali!$C:$C,MATCH(D380,Materiali!$A:$A,0)),0))</f>
        <v/>
      </c>
      <c r="I380" s="9" t="str">
        <f aca="false">IF(OR(G380="",H380=""),"",IF(F380="Uscita",-1,1)*G380*H380)</f>
        <v/>
      </c>
      <c r="J380" s="13"/>
      <c r="K380" s="13"/>
    </row>
    <row r="381" customFormat="false" ht="15" hidden="false" customHeight="false" outlineLevel="0" collapsed="false">
      <c r="A381" s="12"/>
      <c r="B381" s="13"/>
      <c r="C381" s="13"/>
      <c r="D381" s="13"/>
      <c r="E381" s="7" t="str">
        <f aca="false">IF(D381="","",IFERROR(INDEX(Materiali!$B:$B,MATCH(D381,Materiali!$A:$A,0)),"codice?"))</f>
        <v/>
      </c>
      <c r="F381" s="13"/>
      <c r="G381" s="13"/>
      <c r="H381" s="9" t="str">
        <f aca="false">IF(D381="","",IFERROR(INDEX(Materiali!$C:$C,MATCH(D381,Materiali!$A:$A,0)),0))</f>
        <v/>
      </c>
      <c r="I381" s="9" t="str">
        <f aca="false">IF(OR(G381="",H381=""),"",IF(F381="Uscita",-1,1)*G381*H381)</f>
        <v/>
      </c>
      <c r="J381" s="13"/>
      <c r="K381" s="13"/>
    </row>
    <row r="382" customFormat="false" ht="15" hidden="false" customHeight="false" outlineLevel="0" collapsed="false">
      <c r="A382" s="12"/>
      <c r="B382" s="13"/>
      <c r="C382" s="13"/>
      <c r="D382" s="13"/>
      <c r="E382" s="7" t="str">
        <f aca="false">IF(D382="","",IFERROR(INDEX(Materiali!$B:$B,MATCH(D382,Materiali!$A:$A,0)),"codice?"))</f>
        <v/>
      </c>
      <c r="F382" s="13"/>
      <c r="G382" s="13"/>
      <c r="H382" s="9" t="str">
        <f aca="false">IF(D382="","",IFERROR(INDEX(Materiali!$C:$C,MATCH(D382,Materiali!$A:$A,0)),0))</f>
        <v/>
      </c>
      <c r="I382" s="9" t="str">
        <f aca="false">IF(OR(G382="",H382=""),"",IF(F382="Uscita",-1,1)*G382*H382)</f>
        <v/>
      </c>
      <c r="J382" s="13"/>
      <c r="K382" s="13"/>
    </row>
    <row r="383" customFormat="false" ht="15" hidden="false" customHeight="false" outlineLevel="0" collapsed="false">
      <c r="A383" s="12"/>
      <c r="B383" s="13"/>
      <c r="C383" s="13"/>
      <c r="D383" s="13"/>
      <c r="E383" s="7" t="str">
        <f aca="false">IF(D383="","",IFERROR(INDEX(Materiali!$B:$B,MATCH(D383,Materiali!$A:$A,0)),"codice?"))</f>
        <v/>
      </c>
      <c r="F383" s="13"/>
      <c r="G383" s="13"/>
      <c r="H383" s="9" t="str">
        <f aca="false">IF(D383="","",IFERROR(INDEX(Materiali!$C:$C,MATCH(D383,Materiali!$A:$A,0)),0))</f>
        <v/>
      </c>
      <c r="I383" s="9" t="str">
        <f aca="false">IF(OR(G383="",H383=""),"",IF(F383="Uscita",-1,1)*G383*H383)</f>
        <v/>
      </c>
      <c r="J383" s="13"/>
      <c r="K383" s="13"/>
    </row>
    <row r="384" customFormat="false" ht="15" hidden="false" customHeight="false" outlineLevel="0" collapsed="false">
      <c r="A384" s="12"/>
      <c r="B384" s="13"/>
      <c r="C384" s="13"/>
      <c r="D384" s="13"/>
      <c r="E384" s="7" t="str">
        <f aca="false">IF(D384="","",IFERROR(INDEX(Materiali!$B:$B,MATCH(D384,Materiali!$A:$A,0)),"codice?"))</f>
        <v/>
      </c>
      <c r="F384" s="13"/>
      <c r="G384" s="13"/>
      <c r="H384" s="9" t="str">
        <f aca="false">IF(D384="","",IFERROR(INDEX(Materiali!$C:$C,MATCH(D384,Materiali!$A:$A,0)),0))</f>
        <v/>
      </c>
      <c r="I384" s="9" t="str">
        <f aca="false">IF(OR(G384="",H384=""),"",IF(F384="Uscita",-1,1)*G384*H384)</f>
        <v/>
      </c>
      <c r="J384" s="13"/>
      <c r="K384" s="13"/>
    </row>
    <row r="385" customFormat="false" ht="15" hidden="false" customHeight="false" outlineLevel="0" collapsed="false">
      <c r="A385" s="12"/>
      <c r="B385" s="13"/>
      <c r="C385" s="13"/>
      <c r="D385" s="13"/>
      <c r="E385" s="7" t="str">
        <f aca="false">IF(D385="","",IFERROR(INDEX(Materiali!$B:$B,MATCH(D385,Materiali!$A:$A,0)),"codice?"))</f>
        <v/>
      </c>
      <c r="F385" s="13"/>
      <c r="G385" s="13"/>
      <c r="H385" s="9" t="str">
        <f aca="false">IF(D385="","",IFERROR(INDEX(Materiali!$C:$C,MATCH(D385,Materiali!$A:$A,0)),0))</f>
        <v/>
      </c>
      <c r="I385" s="9" t="str">
        <f aca="false">IF(OR(G385="",H385=""),"",IF(F385="Uscita",-1,1)*G385*H385)</f>
        <v/>
      </c>
      <c r="J385" s="13"/>
      <c r="K385" s="13"/>
    </row>
    <row r="386" customFormat="false" ht="15" hidden="false" customHeight="false" outlineLevel="0" collapsed="false">
      <c r="A386" s="12"/>
      <c r="B386" s="13"/>
      <c r="C386" s="13"/>
      <c r="D386" s="13"/>
      <c r="E386" s="7" t="str">
        <f aca="false">IF(D386="","",IFERROR(INDEX(Materiali!$B:$B,MATCH(D386,Materiali!$A:$A,0)),"codice?"))</f>
        <v/>
      </c>
      <c r="F386" s="13"/>
      <c r="G386" s="13"/>
      <c r="H386" s="9" t="str">
        <f aca="false">IF(D386="","",IFERROR(INDEX(Materiali!$C:$C,MATCH(D386,Materiali!$A:$A,0)),0))</f>
        <v/>
      </c>
      <c r="I386" s="9" t="str">
        <f aca="false">IF(OR(G386="",H386=""),"",IF(F386="Uscita",-1,1)*G386*H386)</f>
        <v/>
      </c>
      <c r="J386" s="13"/>
      <c r="K386" s="13"/>
    </row>
    <row r="387" customFormat="false" ht="15" hidden="false" customHeight="false" outlineLevel="0" collapsed="false">
      <c r="A387" s="12"/>
      <c r="B387" s="13"/>
      <c r="C387" s="13"/>
      <c r="D387" s="13"/>
      <c r="E387" s="7" t="str">
        <f aca="false">IF(D387="","",IFERROR(INDEX(Materiali!$B:$B,MATCH(D387,Materiali!$A:$A,0)),"codice?"))</f>
        <v/>
      </c>
      <c r="F387" s="13"/>
      <c r="G387" s="13"/>
      <c r="H387" s="9" t="str">
        <f aca="false">IF(D387="","",IFERROR(INDEX(Materiali!$C:$C,MATCH(D387,Materiali!$A:$A,0)),0))</f>
        <v/>
      </c>
      <c r="I387" s="9" t="str">
        <f aca="false">IF(OR(G387="",H387=""),"",IF(F387="Uscita",-1,1)*G387*H387)</f>
        <v/>
      </c>
      <c r="J387" s="13"/>
      <c r="K387" s="13"/>
    </row>
    <row r="388" customFormat="false" ht="15" hidden="false" customHeight="false" outlineLevel="0" collapsed="false">
      <c r="A388" s="12"/>
      <c r="B388" s="13"/>
      <c r="C388" s="13"/>
      <c r="D388" s="13"/>
      <c r="E388" s="7" t="str">
        <f aca="false">IF(D388="","",IFERROR(INDEX(Materiali!$B:$B,MATCH(D388,Materiali!$A:$A,0)),"codice?"))</f>
        <v/>
      </c>
      <c r="F388" s="13"/>
      <c r="G388" s="13"/>
      <c r="H388" s="9" t="str">
        <f aca="false">IF(D388="","",IFERROR(INDEX(Materiali!$C:$C,MATCH(D388,Materiali!$A:$A,0)),0))</f>
        <v/>
      </c>
      <c r="I388" s="9" t="str">
        <f aca="false">IF(OR(G388="",H388=""),"",IF(F388="Uscita",-1,1)*G388*H388)</f>
        <v/>
      </c>
      <c r="J388" s="13"/>
      <c r="K388" s="13"/>
    </row>
    <row r="389" customFormat="false" ht="15" hidden="false" customHeight="false" outlineLevel="0" collapsed="false">
      <c r="A389" s="12"/>
      <c r="B389" s="13"/>
      <c r="C389" s="13"/>
      <c r="D389" s="13"/>
      <c r="E389" s="7" t="str">
        <f aca="false">IF(D389="","",IFERROR(INDEX(Materiali!$B:$B,MATCH(D389,Materiali!$A:$A,0)),"codice?"))</f>
        <v/>
      </c>
      <c r="F389" s="13"/>
      <c r="G389" s="13"/>
      <c r="H389" s="9" t="str">
        <f aca="false">IF(D389="","",IFERROR(INDEX(Materiali!$C:$C,MATCH(D389,Materiali!$A:$A,0)),0))</f>
        <v/>
      </c>
      <c r="I389" s="9" t="str">
        <f aca="false">IF(OR(G389="",H389=""),"",IF(F389="Uscita",-1,1)*G389*H389)</f>
        <v/>
      </c>
      <c r="J389" s="13"/>
      <c r="K389" s="13"/>
    </row>
    <row r="390" customFormat="false" ht="15" hidden="false" customHeight="false" outlineLevel="0" collapsed="false">
      <c r="A390" s="12"/>
      <c r="B390" s="13"/>
      <c r="C390" s="13"/>
      <c r="D390" s="13"/>
      <c r="E390" s="7" t="str">
        <f aca="false">IF(D390="","",IFERROR(INDEX(Materiali!$B:$B,MATCH(D390,Materiali!$A:$A,0)),"codice?"))</f>
        <v/>
      </c>
      <c r="F390" s="13"/>
      <c r="G390" s="13"/>
      <c r="H390" s="9" t="str">
        <f aca="false">IF(D390="","",IFERROR(INDEX(Materiali!$C:$C,MATCH(D390,Materiali!$A:$A,0)),0))</f>
        <v/>
      </c>
      <c r="I390" s="9" t="str">
        <f aca="false">IF(OR(G390="",H390=""),"",IF(F390="Uscita",-1,1)*G390*H390)</f>
        <v/>
      </c>
      <c r="J390" s="13"/>
      <c r="K390" s="13"/>
    </row>
    <row r="391" customFormat="false" ht="15" hidden="false" customHeight="false" outlineLevel="0" collapsed="false">
      <c r="A391" s="12"/>
      <c r="B391" s="13"/>
      <c r="C391" s="13"/>
      <c r="D391" s="13"/>
      <c r="E391" s="7" t="str">
        <f aca="false">IF(D391="","",IFERROR(INDEX(Materiali!$B:$B,MATCH(D391,Materiali!$A:$A,0)),"codice?"))</f>
        <v/>
      </c>
      <c r="F391" s="13"/>
      <c r="G391" s="13"/>
      <c r="H391" s="9" t="str">
        <f aca="false">IF(D391="","",IFERROR(INDEX(Materiali!$C:$C,MATCH(D391,Materiali!$A:$A,0)),0))</f>
        <v/>
      </c>
      <c r="I391" s="9" t="str">
        <f aca="false">IF(OR(G391="",H391=""),"",IF(F391="Uscita",-1,1)*G391*H391)</f>
        <v/>
      </c>
      <c r="J391" s="13"/>
      <c r="K391" s="13"/>
    </row>
    <row r="392" customFormat="false" ht="15" hidden="false" customHeight="false" outlineLevel="0" collapsed="false">
      <c r="A392" s="12"/>
      <c r="B392" s="13"/>
      <c r="C392" s="13"/>
      <c r="D392" s="13"/>
      <c r="E392" s="7" t="str">
        <f aca="false">IF(D392="","",IFERROR(INDEX(Materiali!$B:$B,MATCH(D392,Materiali!$A:$A,0)),"codice?"))</f>
        <v/>
      </c>
      <c r="F392" s="13"/>
      <c r="G392" s="13"/>
      <c r="H392" s="9" t="str">
        <f aca="false">IF(D392="","",IFERROR(INDEX(Materiali!$C:$C,MATCH(D392,Materiali!$A:$A,0)),0))</f>
        <v/>
      </c>
      <c r="I392" s="9" t="str">
        <f aca="false">IF(OR(G392="",H392=""),"",IF(F392="Uscita",-1,1)*G392*H392)</f>
        <v/>
      </c>
      <c r="J392" s="13"/>
      <c r="K392" s="13"/>
    </row>
    <row r="393" customFormat="false" ht="15" hidden="false" customHeight="false" outlineLevel="0" collapsed="false">
      <c r="A393" s="12"/>
      <c r="B393" s="13"/>
      <c r="C393" s="13"/>
      <c r="D393" s="13"/>
      <c r="E393" s="7" t="str">
        <f aca="false">IF(D393="","",IFERROR(INDEX(Materiali!$B:$B,MATCH(D393,Materiali!$A:$A,0)),"codice?"))</f>
        <v/>
      </c>
      <c r="F393" s="13"/>
      <c r="G393" s="13"/>
      <c r="H393" s="9" t="str">
        <f aca="false">IF(D393="","",IFERROR(INDEX(Materiali!$C:$C,MATCH(D393,Materiali!$A:$A,0)),0))</f>
        <v/>
      </c>
      <c r="I393" s="9" t="str">
        <f aca="false">IF(OR(G393="",H393=""),"",IF(F393="Uscita",-1,1)*G393*H393)</f>
        <v/>
      </c>
      <c r="J393" s="13"/>
      <c r="K393" s="13"/>
    </row>
    <row r="394" customFormat="false" ht="15" hidden="false" customHeight="false" outlineLevel="0" collapsed="false">
      <c r="A394" s="12"/>
      <c r="B394" s="13"/>
      <c r="C394" s="13"/>
      <c r="D394" s="13"/>
      <c r="E394" s="7" t="str">
        <f aca="false">IF(D394="","",IFERROR(INDEX(Materiali!$B:$B,MATCH(D394,Materiali!$A:$A,0)),"codice?"))</f>
        <v/>
      </c>
      <c r="F394" s="13"/>
      <c r="G394" s="13"/>
      <c r="H394" s="9" t="str">
        <f aca="false">IF(D394="","",IFERROR(INDEX(Materiali!$C:$C,MATCH(D394,Materiali!$A:$A,0)),0))</f>
        <v/>
      </c>
      <c r="I394" s="9" t="str">
        <f aca="false">IF(OR(G394="",H394=""),"",IF(F394="Uscita",-1,1)*G394*H394)</f>
        <v/>
      </c>
      <c r="J394" s="13"/>
      <c r="K394" s="13"/>
    </row>
    <row r="395" customFormat="false" ht="15" hidden="false" customHeight="false" outlineLevel="0" collapsed="false">
      <c r="A395" s="12"/>
      <c r="B395" s="13"/>
      <c r="C395" s="13"/>
      <c r="D395" s="13"/>
      <c r="E395" s="7" t="str">
        <f aca="false">IF(D395="","",IFERROR(INDEX(Materiali!$B:$B,MATCH(D395,Materiali!$A:$A,0)),"codice?"))</f>
        <v/>
      </c>
      <c r="F395" s="13"/>
      <c r="G395" s="13"/>
      <c r="H395" s="9" t="str">
        <f aca="false">IF(D395="","",IFERROR(INDEX(Materiali!$C:$C,MATCH(D395,Materiali!$A:$A,0)),0))</f>
        <v/>
      </c>
      <c r="I395" s="9" t="str">
        <f aca="false">IF(OR(G395="",H395=""),"",IF(F395="Uscita",-1,1)*G395*H395)</f>
        <v/>
      </c>
      <c r="J395" s="13"/>
      <c r="K395" s="13"/>
    </row>
    <row r="396" customFormat="false" ht="15" hidden="false" customHeight="false" outlineLevel="0" collapsed="false">
      <c r="A396" s="12"/>
      <c r="B396" s="13"/>
      <c r="C396" s="13"/>
      <c r="D396" s="13"/>
      <c r="E396" s="7" t="str">
        <f aca="false">IF(D396="","",IFERROR(INDEX(Materiali!$B:$B,MATCH(D396,Materiali!$A:$A,0)),"codice?"))</f>
        <v/>
      </c>
      <c r="F396" s="13"/>
      <c r="G396" s="13"/>
      <c r="H396" s="9" t="str">
        <f aca="false">IF(D396="","",IFERROR(INDEX(Materiali!$C:$C,MATCH(D396,Materiali!$A:$A,0)),0))</f>
        <v/>
      </c>
      <c r="I396" s="9" t="str">
        <f aca="false">IF(OR(G396="",H396=""),"",IF(F396="Uscita",-1,1)*G396*H396)</f>
        <v/>
      </c>
      <c r="J396" s="13"/>
      <c r="K396" s="13"/>
    </row>
    <row r="397" customFormat="false" ht="15" hidden="false" customHeight="false" outlineLevel="0" collapsed="false">
      <c r="A397" s="12"/>
      <c r="B397" s="13"/>
      <c r="C397" s="13"/>
      <c r="D397" s="13"/>
      <c r="E397" s="7" t="str">
        <f aca="false">IF(D397="","",IFERROR(INDEX(Materiali!$B:$B,MATCH(D397,Materiali!$A:$A,0)),"codice?"))</f>
        <v/>
      </c>
      <c r="F397" s="13"/>
      <c r="G397" s="13"/>
      <c r="H397" s="9" t="str">
        <f aca="false">IF(D397="","",IFERROR(INDEX(Materiali!$C:$C,MATCH(D397,Materiali!$A:$A,0)),0))</f>
        <v/>
      </c>
      <c r="I397" s="9" t="str">
        <f aca="false">IF(OR(G397="",H397=""),"",IF(F397="Uscita",-1,1)*G397*H397)</f>
        <v/>
      </c>
      <c r="J397" s="13"/>
      <c r="K397" s="13"/>
    </row>
    <row r="398" customFormat="false" ht="15" hidden="false" customHeight="false" outlineLevel="0" collapsed="false">
      <c r="A398" s="12"/>
      <c r="B398" s="13"/>
      <c r="C398" s="13"/>
      <c r="D398" s="13"/>
      <c r="E398" s="7" t="str">
        <f aca="false">IF(D398="","",IFERROR(INDEX(Materiali!$B:$B,MATCH(D398,Materiali!$A:$A,0)),"codice?"))</f>
        <v/>
      </c>
      <c r="F398" s="13"/>
      <c r="G398" s="13"/>
      <c r="H398" s="9" t="str">
        <f aca="false">IF(D398="","",IFERROR(INDEX(Materiali!$C:$C,MATCH(D398,Materiali!$A:$A,0)),0))</f>
        <v/>
      </c>
      <c r="I398" s="9" t="str">
        <f aca="false">IF(OR(G398="",H398=""),"",IF(F398="Uscita",-1,1)*G398*H398)</f>
        <v/>
      </c>
      <c r="J398" s="13"/>
      <c r="K398" s="13"/>
    </row>
    <row r="399" customFormat="false" ht="15" hidden="false" customHeight="false" outlineLevel="0" collapsed="false">
      <c r="A399" s="12"/>
      <c r="B399" s="13"/>
      <c r="C399" s="13"/>
      <c r="D399" s="13"/>
      <c r="E399" s="7" t="str">
        <f aca="false">IF(D399="","",IFERROR(INDEX(Materiali!$B:$B,MATCH(D399,Materiali!$A:$A,0)),"codice?"))</f>
        <v/>
      </c>
      <c r="F399" s="13"/>
      <c r="G399" s="13"/>
      <c r="H399" s="9" t="str">
        <f aca="false">IF(D399="","",IFERROR(INDEX(Materiali!$C:$C,MATCH(D399,Materiali!$A:$A,0)),0))</f>
        <v/>
      </c>
      <c r="I399" s="9" t="str">
        <f aca="false">IF(OR(G399="",H399=""),"",IF(F399="Uscita",-1,1)*G399*H399)</f>
        <v/>
      </c>
      <c r="J399" s="13"/>
      <c r="K399" s="13"/>
    </row>
    <row r="400" customFormat="false" ht="15" hidden="false" customHeight="false" outlineLevel="0" collapsed="false">
      <c r="A400" s="12"/>
      <c r="B400" s="13"/>
      <c r="C400" s="13"/>
      <c r="D400" s="13"/>
      <c r="E400" s="7" t="str">
        <f aca="false">IF(D400="","",IFERROR(INDEX(Materiali!$B:$B,MATCH(D400,Materiali!$A:$A,0)),"codice?"))</f>
        <v/>
      </c>
      <c r="F400" s="13"/>
      <c r="G400" s="13"/>
      <c r="H400" s="9" t="str">
        <f aca="false">IF(D400="","",IFERROR(INDEX(Materiali!$C:$C,MATCH(D400,Materiali!$A:$A,0)),0))</f>
        <v/>
      </c>
      <c r="I400" s="9" t="str">
        <f aca="false">IF(OR(G400="",H400=""),"",IF(F400="Uscita",-1,1)*G400*H400)</f>
        <v/>
      </c>
      <c r="J400" s="13"/>
      <c r="K400" s="13"/>
    </row>
    <row r="401" customFormat="false" ht="15" hidden="false" customHeight="false" outlineLevel="0" collapsed="false">
      <c r="A401" s="12"/>
      <c r="B401" s="13"/>
      <c r="C401" s="13"/>
      <c r="D401" s="13"/>
      <c r="E401" s="7" t="str">
        <f aca="false">IF(D401="","",IFERROR(INDEX(Materiali!$B:$B,MATCH(D401,Materiali!$A:$A,0)),"codice?"))</f>
        <v/>
      </c>
      <c r="F401" s="13"/>
      <c r="G401" s="13"/>
      <c r="H401" s="9" t="str">
        <f aca="false">IF(D401="","",IFERROR(INDEX(Materiali!$C:$C,MATCH(D401,Materiali!$A:$A,0)),0))</f>
        <v/>
      </c>
      <c r="I401" s="9" t="str">
        <f aca="false">IF(OR(G401="",H401=""),"",IF(F401="Uscita",-1,1)*G401*H401)</f>
        <v/>
      </c>
      <c r="J401" s="13"/>
      <c r="K401" s="13"/>
    </row>
    <row r="402" customFormat="false" ht="15" hidden="false" customHeight="false" outlineLevel="0" collapsed="false">
      <c r="A402" s="12"/>
      <c r="B402" s="13"/>
      <c r="C402" s="13"/>
      <c r="D402" s="13"/>
      <c r="E402" s="7" t="str">
        <f aca="false">IF(D402="","",IFERROR(INDEX(Materiali!$B:$B,MATCH(D402,Materiali!$A:$A,0)),"codice?"))</f>
        <v/>
      </c>
      <c r="F402" s="13"/>
      <c r="G402" s="13"/>
      <c r="H402" s="9" t="str">
        <f aca="false">IF(D402="","",IFERROR(INDEX(Materiali!$C:$C,MATCH(D402,Materiali!$A:$A,0)),0))</f>
        <v/>
      </c>
      <c r="I402" s="9" t="str">
        <f aca="false">IF(OR(G402="",H402=""),"",IF(F402="Uscita",-1,1)*G402*H402)</f>
        <v/>
      </c>
      <c r="J402" s="13"/>
      <c r="K402" s="13"/>
    </row>
    <row r="403" customFormat="false" ht="15" hidden="false" customHeight="false" outlineLevel="0" collapsed="false">
      <c r="A403" s="12"/>
      <c r="B403" s="13"/>
      <c r="C403" s="13"/>
      <c r="D403" s="13"/>
      <c r="E403" s="7" t="str">
        <f aca="false">IF(D403="","",IFERROR(INDEX(Materiali!$B:$B,MATCH(D403,Materiali!$A:$A,0)),"codice?"))</f>
        <v/>
      </c>
      <c r="F403" s="13"/>
      <c r="G403" s="13"/>
      <c r="H403" s="9" t="str">
        <f aca="false">IF(D403="","",IFERROR(INDEX(Materiali!$C:$C,MATCH(D403,Materiali!$A:$A,0)),0))</f>
        <v/>
      </c>
      <c r="I403" s="9" t="str">
        <f aca="false">IF(OR(G403="",H403=""),"",IF(F403="Uscita",-1,1)*G403*H403)</f>
        <v/>
      </c>
      <c r="J403" s="13"/>
      <c r="K403" s="13"/>
    </row>
    <row r="404" customFormat="false" ht="15" hidden="false" customHeight="false" outlineLevel="0" collapsed="false">
      <c r="A404" s="12"/>
      <c r="B404" s="13"/>
      <c r="C404" s="13"/>
      <c r="D404" s="13"/>
      <c r="E404" s="7" t="str">
        <f aca="false">IF(D404="","",IFERROR(INDEX(Materiali!$B:$B,MATCH(D404,Materiali!$A:$A,0)),"codice?"))</f>
        <v/>
      </c>
      <c r="F404" s="13"/>
      <c r="G404" s="13"/>
      <c r="H404" s="9" t="str">
        <f aca="false">IF(D404="","",IFERROR(INDEX(Materiali!$C:$C,MATCH(D404,Materiali!$A:$A,0)),0))</f>
        <v/>
      </c>
      <c r="I404" s="9" t="str">
        <f aca="false">IF(OR(G404="",H404=""),"",IF(F404="Uscita",-1,1)*G404*H404)</f>
        <v/>
      </c>
      <c r="J404" s="13"/>
      <c r="K404" s="13"/>
    </row>
    <row r="405" customFormat="false" ht="15" hidden="false" customHeight="false" outlineLevel="0" collapsed="false">
      <c r="A405" s="12"/>
      <c r="B405" s="13"/>
      <c r="C405" s="13"/>
      <c r="D405" s="13"/>
      <c r="E405" s="7" t="str">
        <f aca="false">IF(D405="","",IFERROR(INDEX(Materiali!$B:$B,MATCH(D405,Materiali!$A:$A,0)),"codice?"))</f>
        <v/>
      </c>
      <c r="F405" s="13"/>
      <c r="G405" s="13"/>
      <c r="H405" s="9" t="str">
        <f aca="false">IF(D405="","",IFERROR(INDEX(Materiali!$C:$C,MATCH(D405,Materiali!$A:$A,0)),0))</f>
        <v/>
      </c>
      <c r="I405" s="9" t="str">
        <f aca="false">IF(OR(G405="",H405=""),"",IF(F405="Uscita",-1,1)*G405*H405)</f>
        <v/>
      </c>
      <c r="J405" s="13"/>
      <c r="K405" s="13"/>
    </row>
    <row r="406" customFormat="false" ht="15" hidden="false" customHeight="false" outlineLevel="0" collapsed="false">
      <c r="A406" s="12"/>
      <c r="B406" s="13"/>
      <c r="C406" s="13"/>
      <c r="D406" s="13"/>
      <c r="E406" s="7" t="str">
        <f aca="false">IF(D406="","",IFERROR(INDEX(Materiali!$B:$B,MATCH(D406,Materiali!$A:$A,0)),"codice?"))</f>
        <v/>
      </c>
      <c r="F406" s="13"/>
      <c r="G406" s="13"/>
      <c r="H406" s="9" t="str">
        <f aca="false">IF(D406="","",IFERROR(INDEX(Materiali!$C:$C,MATCH(D406,Materiali!$A:$A,0)),0))</f>
        <v/>
      </c>
      <c r="I406" s="9" t="str">
        <f aca="false">IF(OR(G406="",H406=""),"",IF(F406="Uscita",-1,1)*G406*H406)</f>
        <v/>
      </c>
      <c r="J406" s="13"/>
      <c r="K406" s="13"/>
    </row>
    <row r="407" customFormat="false" ht="15" hidden="false" customHeight="false" outlineLevel="0" collapsed="false">
      <c r="A407" s="12"/>
      <c r="B407" s="13"/>
      <c r="C407" s="13"/>
      <c r="D407" s="13"/>
      <c r="E407" s="7" t="str">
        <f aca="false">IF(D407="","",IFERROR(INDEX(Materiali!$B:$B,MATCH(D407,Materiali!$A:$A,0)),"codice?"))</f>
        <v/>
      </c>
      <c r="F407" s="13"/>
      <c r="G407" s="13"/>
      <c r="H407" s="9" t="str">
        <f aca="false">IF(D407="","",IFERROR(INDEX(Materiali!$C:$C,MATCH(D407,Materiali!$A:$A,0)),0))</f>
        <v/>
      </c>
      <c r="I407" s="9" t="str">
        <f aca="false">IF(OR(G407="",H407=""),"",IF(F407="Uscita",-1,1)*G407*H407)</f>
        <v/>
      </c>
      <c r="J407" s="13"/>
      <c r="K407" s="13"/>
    </row>
    <row r="408" customFormat="false" ht="15" hidden="false" customHeight="false" outlineLevel="0" collapsed="false">
      <c r="A408" s="12"/>
      <c r="B408" s="13"/>
      <c r="C408" s="13"/>
      <c r="D408" s="13"/>
      <c r="E408" s="7" t="str">
        <f aca="false">IF(D408="","",IFERROR(INDEX(Materiali!$B:$B,MATCH(D408,Materiali!$A:$A,0)),"codice?"))</f>
        <v/>
      </c>
      <c r="F408" s="13"/>
      <c r="G408" s="13"/>
      <c r="H408" s="9" t="str">
        <f aca="false">IF(D408="","",IFERROR(INDEX(Materiali!$C:$C,MATCH(D408,Materiali!$A:$A,0)),0))</f>
        <v/>
      </c>
      <c r="I408" s="9" t="str">
        <f aca="false">IF(OR(G408="",H408=""),"",IF(F408="Uscita",-1,1)*G408*H408)</f>
        <v/>
      </c>
      <c r="J408" s="13"/>
      <c r="K408" s="13"/>
    </row>
    <row r="409" customFormat="false" ht="15" hidden="false" customHeight="false" outlineLevel="0" collapsed="false">
      <c r="A409" s="12"/>
      <c r="B409" s="13"/>
      <c r="C409" s="13"/>
      <c r="D409" s="13"/>
      <c r="E409" s="7" t="str">
        <f aca="false">IF(D409="","",IFERROR(INDEX(Materiali!$B:$B,MATCH(D409,Materiali!$A:$A,0)),"codice?"))</f>
        <v/>
      </c>
      <c r="F409" s="13"/>
      <c r="G409" s="13"/>
      <c r="H409" s="9" t="str">
        <f aca="false">IF(D409="","",IFERROR(INDEX(Materiali!$C:$C,MATCH(D409,Materiali!$A:$A,0)),0))</f>
        <v/>
      </c>
      <c r="I409" s="9" t="str">
        <f aca="false">IF(OR(G409="",H409=""),"",IF(F409="Uscita",-1,1)*G409*H409)</f>
        <v/>
      </c>
      <c r="J409" s="13"/>
      <c r="K409" s="13"/>
    </row>
    <row r="410" customFormat="false" ht="15" hidden="false" customHeight="false" outlineLevel="0" collapsed="false">
      <c r="A410" s="12"/>
      <c r="B410" s="13"/>
      <c r="C410" s="13"/>
      <c r="D410" s="13"/>
      <c r="E410" s="7" t="str">
        <f aca="false">IF(D410="","",IFERROR(INDEX(Materiali!$B:$B,MATCH(D410,Materiali!$A:$A,0)),"codice?"))</f>
        <v/>
      </c>
      <c r="F410" s="13"/>
      <c r="G410" s="13"/>
      <c r="H410" s="9" t="str">
        <f aca="false">IF(D410="","",IFERROR(INDEX(Materiali!$C:$C,MATCH(D410,Materiali!$A:$A,0)),0))</f>
        <v/>
      </c>
      <c r="I410" s="9" t="str">
        <f aca="false">IF(OR(G410="",H410=""),"",IF(F410="Uscita",-1,1)*G410*H410)</f>
        <v/>
      </c>
      <c r="J410" s="13"/>
      <c r="K410" s="13"/>
    </row>
    <row r="411" customFormat="false" ht="15" hidden="false" customHeight="false" outlineLevel="0" collapsed="false">
      <c r="A411" s="12"/>
      <c r="B411" s="13"/>
      <c r="C411" s="13"/>
      <c r="D411" s="13"/>
      <c r="E411" s="7" t="str">
        <f aca="false">IF(D411="","",IFERROR(INDEX(Materiali!$B:$B,MATCH(D411,Materiali!$A:$A,0)),"codice?"))</f>
        <v/>
      </c>
      <c r="F411" s="13"/>
      <c r="G411" s="13"/>
      <c r="H411" s="9" t="str">
        <f aca="false">IF(D411="","",IFERROR(INDEX(Materiali!$C:$C,MATCH(D411,Materiali!$A:$A,0)),0))</f>
        <v/>
      </c>
      <c r="I411" s="9" t="str">
        <f aca="false">IF(OR(G411="",H411=""),"",IF(F411="Uscita",-1,1)*G411*H411)</f>
        <v/>
      </c>
      <c r="J411" s="13"/>
      <c r="K411" s="13"/>
    </row>
    <row r="412" customFormat="false" ht="15" hidden="false" customHeight="false" outlineLevel="0" collapsed="false">
      <c r="A412" s="12"/>
      <c r="B412" s="13"/>
      <c r="C412" s="13"/>
      <c r="D412" s="13"/>
      <c r="E412" s="7" t="str">
        <f aca="false">IF(D412="","",IFERROR(INDEX(Materiali!$B:$B,MATCH(D412,Materiali!$A:$A,0)),"codice?"))</f>
        <v/>
      </c>
      <c r="F412" s="13"/>
      <c r="G412" s="13"/>
      <c r="H412" s="9" t="str">
        <f aca="false">IF(D412="","",IFERROR(INDEX(Materiali!$C:$C,MATCH(D412,Materiali!$A:$A,0)),0))</f>
        <v/>
      </c>
      <c r="I412" s="9" t="str">
        <f aca="false">IF(OR(G412="",H412=""),"",IF(F412="Uscita",-1,1)*G412*H412)</f>
        <v/>
      </c>
      <c r="J412" s="13"/>
      <c r="K412" s="13"/>
    </row>
    <row r="413" customFormat="false" ht="15" hidden="false" customHeight="false" outlineLevel="0" collapsed="false">
      <c r="A413" s="12"/>
      <c r="B413" s="13"/>
      <c r="C413" s="13"/>
      <c r="D413" s="13"/>
      <c r="E413" s="7" t="str">
        <f aca="false">IF(D413="","",IFERROR(INDEX(Materiali!$B:$B,MATCH(D413,Materiali!$A:$A,0)),"codice?"))</f>
        <v/>
      </c>
      <c r="F413" s="13"/>
      <c r="G413" s="13"/>
      <c r="H413" s="9" t="str">
        <f aca="false">IF(D413="","",IFERROR(INDEX(Materiali!$C:$C,MATCH(D413,Materiali!$A:$A,0)),0))</f>
        <v/>
      </c>
      <c r="I413" s="9" t="str">
        <f aca="false">IF(OR(G413="",H413=""),"",IF(F413="Uscita",-1,1)*G413*H413)</f>
        <v/>
      </c>
      <c r="J413" s="13"/>
      <c r="K413" s="13"/>
    </row>
    <row r="414" customFormat="false" ht="15" hidden="false" customHeight="false" outlineLevel="0" collapsed="false">
      <c r="A414" s="12"/>
      <c r="B414" s="13"/>
      <c r="C414" s="13"/>
      <c r="D414" s="13"/>
      <c r="E414" s="7" t="str">
        <f aca="false">IF(D414="","",IFERROR(INDEX(Materiali!$B:$B,MATCH(D414,Materiali!$A:$A,0)),"codice?"))</f>
        <v/>
      </c>
      <c r="F414" s="13"/>
      <c r="G414" s="13"/>
      <c r="H414" s="9" t="str">
        <f aca="false">IF(D414="","",IFERROR(INDEX(Materiali!$C:$C,MATCH(D414,Materiali!$A:$A,0)),0))</f>
        <v/>
      </c>
      <c r="I414" s="9" t="str">
        <f aca="false">IF(OR(G414="",H414=""),"",IF(F414="Uscita",-1,1)*G414*H414)</f>
        <v/>
      </c>
      <c r="J414" s="13"/>
      <c r="K414" s="13"/>
    </row>
    <row r="415" customFormat="false" ht="15" hidden="false" customHeight="false" outlineLevel="0" collapsed="false">
      <c r="A415" s="12"/>
      <c r="B415" s="13"/>
      <c r="C415" s="13"/>
      <c r="D415" s="13"/>
      <c r="E415" s="7" t="str">
        <f aca="false">IF(D415="","",IFERROR(INDEX(Materiali!$B:$B,MATCH(D415,Materiali!$A:$A,0)),"codice?"))</f>
        <v/>
      </c>
      <c r="F415" s="13"/>
      <c r="G415" s="13"/>
      <c r="H415" s="9" t="str">
        <f aca="false">IF(D415="","",IFERROR(INDEX(Materiali!$C:$C,MATCH(D415,Materiali!$A:$A,0)),0))</f>
        <v/>
      </c>
      <c r="I415" s="9" t="str">
        <f aca="false">IF(OR(G415="",H415=""),"",IF(F415="Uscita",-1,1)*G415*H415)</f>
        <v/>
      </c>
      <c r="J415" s="13"/>
      <c r="K415" s="13"/>
    </row>
    <row r="416" customFormat="false" ht="15" hidden="false" customHeight="false" outlineLevel="0" collapsed="false">
      <c r="A416" s="12"/>
      <c r="B416" s="13"/>
      <c r="C416" s="13"/>
      <c r="D416" s="13"/>
      <c r="E416" s="7" t="str">
        <f aca="false">IF(D416="","",IFERROR(INDEX(Materiali!$B:$B,MATCH(D416,Materiali!$A:$A,0)),"codice?"))</f>
        <v/>
      </c>
      <c r="F416" s="13"/>
      <c r="G416" s="13"/>
      <c r="H416" s="9" t="str">
        <f aca="false">IF(D416="","",IFERROR(INDEX(Materiali!$C:$C,MATCH(D416,Materiali!$A:$A,0)),0))</f>
        <v/>
      </c>
      <c r="I416" s="9" t="str">
        <f aca="false">IF(OR(G416="",H416=""),"",IF(F416="Uscita",-1,1)*G416*H416)</f>
        <v/>
      </c>
      <c r="J416" s="13"/>
      <c r="K416" s="13"/>
    </row>
    <row r="417" customFormat="false" ht="15" hidden="false" customHeight="false" outlineLevel="0" collapsed="false">
      <c r="A417" s="12"/>
      <c r="B417" s="13"/>
      <c r="C417" s="13"/>
      <c r="D417" s="13"/>
      <c r="E417" s="7" t="str">
        <f aca="false">IF(D417="","",IFERROR(INDEX(Materiali!$B:$B,MATCH(D417,Materiali!$A:$A,0)),"codice?"))</f>
        <v/>
      </c>
      <c r="F417" s="13"/>
      <c r="G417" s="13"/>
      <c r="H417" s="9" t="str">
        <f aca="false">IF(D417="","",IFERROR(INDEX(Materiali!$C:$C,MATCH(D417,Materiali!$A:$A,0)),0))</f>
        <v/>
      </c>
      <c r="I417" s="9" t="str">
        <f aca="false">IF(OR(G417="",H417=""),"",IF(F417="Uscita",-1,1)*G417*H417)</f>
        <v/>
      </c>
      <c r="J417" s="13"/>
      <c r="K417" s="13"/>
    </row>
    <row r="418" customFormat="false" ht="15" hidden="false" customHeight="false" outlineLevel="0" collapsed="false">
      <c r="A418" s="12"/>
      <c r="B418" s="13"/>
      <c r="C418" s="13"/>
      <c r="D418" s="13"/>
      <c r="E418" s="7" t="str">
        <f aca="false">IF(D418="","",IFERROR(INDEX(Materiali!$B:$B,MATCH(D418,Materiali!$A:$A,0)),"codice?"))</f>
        <v/>
      </c>
      <c r="F418" s="13"/>
      <c r="G418" s="13"/>
      <c r="H418" s="9" t="str">
        <f aca="false">IF(D418="","",IFERROR(INDEX(Materiali!$C:$C,MATCH(D418,Materiali!$A:$A,0)),0))</f>
        <v/>
      </c>
      <c r="I418" s="9" t="str">
        <f aca="false">IF(OR(G418="",H418=""),"",IF(F418="Uscita",-1,1)*G418*H418)</f>
        <v/>
      </c>
      <c r="J418" s="13"/>
      <c r="K418" s="13"/>
    </row>
    <row r="419" customFormat="false" ht="15" hidden="false" customHeight="false" outlineLevel="0" collapsed="false">
      <c r="A419" s="12"/>
      <c r="B419" s="13"/>
      <c r="C419" s="13"/>
      <c r="D419" s="13"/>
      <c r="E419" s="7" t="str">
        <f aca="false">IF(D419="","",IFERROR(INDEX(Materiali!$B:$B,MATCH(D419,Materiali!$A:$A,0)),"codice?"))</f>
        <v/>
      </c>
      <c r="F419" s="13"/>
      <c r="G419" s="13"/>
      <c r="H419" s="9" t="str">
        <f aca="false">IF(D419="","",IFERROR(INDEX(Materiali!$C:$C,MATCH(D419,Materiali!$A:$A,0)),0))</f>
        <v/>
      </c>
      <c r="I419" s="9" t="str">
        <f aca="false">IF(OR(G419="",H419=""),"",IF(F419="Uscita",-1,1)*G419*H419)</f>
        <v/>
      </c>
      <c r="J419" s="13"/>
      <c r="K419" s="13"/>
    </row>
    <row r="420" customFormat="false" ht="15" hidden="false" customHeight="false" outlineLevel="0" collapsed="false">
      <c r="A420" s="12"/>
      <c r="B420" s="13"/>
      <c r="C420" s="13"/>
      <c r="D420" s="13"/>
      <c r="E420" s="7" t="str">
        <f aca="false">IF(D420="","",IFERROR(INDEX(Materiali!$B:$B,MATCH(D420,Materiali!$A:$A,0)),"codice?"))</f>
        <v/>
      </c>
      <c r="F420" s="13"/>
      <c r="G420" s="13"/>
      <c r="H420" s="9" t="str">
        <f aca="false">IF(D420="","",IFERROR(INDEX(Materiali!$C:$C,MATCH(D420,Materiali!$A:$A,0)),0))</f>
        <v/>
      </c>
      <c r="I420" s="9" t="str">
        <f aca="false">IF(OR(G420="",H420=""),"",IF(F420="Uscita",-1,1)*G420*H420)</f>
        <v/>
      </c>
      <c r="J420" s="13"/>
      <c r="K420" s="13"/>
    </row>
    <row r="421" customFormat="false" ht="15" hidden="false" customHeight="false" outlineLevel="0" collapsed="false">
      <c r="A421" s="12"/>
      <c r="B421" s="13"/>
      <c r="C421" s="13"/>
      <c r="D421" s="13"/>
      <c r="E421" s="7" t="str">
        <f aca="false">IF(D421="","",IFERROR(INDEX(Materiali!$B:$B,MATCH(D421,Materiali!$A:$A,0)),"codice?"))</f>
        <v/>
      </c>
      <c r="F421" s="13"/>
      <c r="G421" s="13"/>
      <c r="H421" s="9" t="str">
        <f aca="false">IF(D421="","",IFERROR(INDEX(Materiali!$C:$C,MATCH(D421,Materiali!$A:$A,0)),0))</f>
        <v/>
      </c>
      <c r="I421" s="9" t="str">
        <f aca="false">IF(OR(G421="",H421=""),"",IF(F421="Uscita",-1,1)*G421*H421)</f>
        <v/>
      </c>
      <c r="J421" s="13"/>
      <c r="K421" s="13"/>
    </row>
    <row r="422" customFormat="false" ht="15" hidden="false" customHeight="false" outlineLevel="0" collapsed="false">
      <c r="A422" s="12"/>
      <c r="B422" s="13"/>
      <c r="C422" s="13"/>
      <c r="D422" s="13"/>
      <c r="E422" s="7" t="str">
        <f aca="false">IF(D422="","",IFERROR(INDEX(Materiali!$B:$B,MATCH(D422,Materiali!$A:$A,0)),"codice?"))</f>
        <v/>
      </c>
      <c r="F422" s="13"/>
      <c r="G422" s="13"/>
      <c r="H422" s="9" t="str">
        <f aca="false">IF(D422="","",IFERROR(INDEX(Materiali!$C:$C,MATCH(D422,Materiali!$A:$A,0)),0))</f>
        <v/>
      </c>
      <c r="I422" s="9" t="str">
        <f aca="false">IF(OR(G422="",H422=""),"",IF(F422="Uscita",-1,1)*G422*H422)</f>
        <v/>
      </c>
      <c r="J422" s="13"/>
      <c r="K422" s="13"/>
    </row>
    <row r="423" customFormat="false" ht="15" hidden="false" customHeight="false" outlineLevel="0" collapsed="false">
      <c r="A423" s="12"/>
      <c r="B423" s="13"/>
      <c r="C423" s="13"/>
      <c r="D423" s="13"/>
      <c r="E423" s="7" t="str">
        <f aca="false">IF(D423="","",IFERROR(INDEX(Materiali!$B:$B,MATCH(D423,Materiali!$A:$A,0)),"codice?"))</f>
        <v/>
      </c>
      <c r="F423" s="13"/>
      <c r="G423" s="13"/>
      <c r="H423" s="9" t="str">
        <f aca="false">IF(D423="","",IFERROR(INDEX(Materiali!$C:$C,MATCH(D423,Materiali!$A:$A,0)),0))</f>
        <v/>
      </c>
      <c r="I423" s="9" t="str">
        <f aca="false">IF(OR(G423="",H423=""),"",IF(F423="Uscita",-1,1)*G423*H423)</f>
        <v/>
      </c>
      <c r="J423" s="13"/>
      <c r="K423" s="13"/>
    </row>
    <row r="424" customFormat="false" ht="15" hidden="false" customHeight="false" outlineLevel="0" collapsed="false">
      <c r="A424" s="12"/>
      <c r="B424" s="13"/>
      <c r="C424" s="13"/>
      <c r="D424" s="13"/>
      <c r="E424" s="7" t="str">
        <f aca="false">IF(D424="","",IFERROR(INDEX(Materiali!$B:$B,MATCH(D424,Materiali!$A:$A,0)),"codice?"))</f>
        <v/>
      </c>
      <c r="F424" s="13"/>
      <c r="G424" s="13"/>
      <c r="H424" s="9" t="str">
        <f aca="false">IF(D424="","",IFERROR(INDEX(Materiali!$C:$C,MATCH(D424,Materiali!$A:$A,0)),0))</f>
        <v/>
      </c>
      <c r="I424" s="9" t="str">
        <f aca="false">IF(OR(G424="",H424=""),"",IF(F424="Uscita",-1,1)*G424*H424)</f>
        <v/>
      </c>
      <c r="J424" s="13"/>
      <c r="K424" s="13"/>
    </row>
    <row r="425" customFormat="false" ht="15" hidden="false" customHeight="false" outlineLevel="0" collapsed="false">
      <c r="A425" s="12"/>
      <c r="B425" s="13"/>
      <c r="C425" s="13"/>
      <c r="D425" s="13"/>
      <c r="E425" s="7" t="str">
        <f aca="false">IF(D425="","",IFERROR(INDEX(Materiali!$B:$B,MATCH(D425,Materiali!$A:$A,0)),"codice?"))</f>
        <v/>
      </c>
      <c r="F425" s="13"/>
      <c r="G425" s="13"/>
      <c r="H425" s="9" t="str">
        <f aca="false">IF(D425="","",IFERROR(INDEX(Materiali!$C:$C,MATCH(D425,Materiali!$A:$A,0)),0))</f>
        <v/>
      </c>
      <c r="I425" s="9" t="str">
        <f aca="false">IF(OR(G425="",H425=""),"",IF(F425="Uscita",-1,1)*G425*H425)</f>
        <v/>
      </c>
      <c r="J425" s="13"/>
      <c r="K425" s="13"/>
    </row>
    <row r="426" customFormat="false" ht="15" hidden="false" customHeight="false" outlineLevel="0" collapsed="false">
      <c r="A426" s="12"/>
      <c r="B426" s="13"/>
      <c r="C426" s="13"/>
      <c r="D426" s="13"/>
      <c r="E426" s="7" t="str">
        <f aca="false">IF(D426="","",IFERROR(INDEX(Materiali!$B:$B,MATCH(D426,Materiali!$A:$A,0)),"codice?"))</f>
        <v/>
      </c>
      <c r="F426" s="13"/>
      <c r="G426" s="13"/>
      <c r="H426" s="9" t="str">
        <f aca="false">IF(D426="","",IFERROR(INDEX(Materiali!$C:$C,MATCH(D426,Materiali!$A:$A,0)),0))</f>
        <v/>
      </c>
      <c r="I426" s="9" t="str">
        <f aca="false">IF(OR(G426="",H426=""),"",IF(F426="Uscita",-1,1)*G426*H426)</f>
        <v/>
      </c>
      <c r="J426" s="13"/>
      <c r="K426" s="13"/>
    </row>
    <row r="427" customFormat="false" ht="15" hidden="false" customHeight="false" outlineLevel="0" collapsed="false">
      <c r="A427" s="12"/>
      <c r="B427" s="13"/>
      <c r="C427" s="13"/>
      <c r="D427" s="13"/>
      <c r="E427" s="7" t="str">
        <f aca="false">IF(D427="","",IFERROR(INDEX(Materiali!$B:$B,MATCH(D427,Materiali!$A:$A,0)),"codice?"))</f>
        <v/>
      </c>
      <c r="F427" s="13"/>
      <c r="G427" s="13"/>
      <c r="H427" s="9" t="str">
        <f aca="false">IF(D427="","",IFERROR(INDEX(Materiali!$C:$C,MATCH(D427,Materiali!$A:$A,0)),0))</f>
        <v/>
      </c>
      <c r="I427" s="9" t="str">
        <f aca="false">IF(OR(G427="",H427=""),"",IF(F427="Uscita",-1,1)*G427*H427)</f>
        <v/>
      </c>
      <c r="J427" s="13"/>
      <c r="K427" s="13"/>
    </row>
    <row r="428" customFormat="false" ht="15" hidden="false" customHeight="false" outlineLevel="0" collapsed="false">
      <c r="A428" s="12"/>
      <c r="B428" s="13"/>
      <c r="C428" s="13"/>
      <c r="D428" s="13"/>
      <c r="E428" s="7" t="str">
        <f aca="false">IF(D428="","",IFERROR(INDEX(Materiali!$B:$B,MATCH(D428,Materiali!$A:$A,0)),"codice?"))</f>
        <v/>
      </c>
      <c r="F428" s="13"/>
      <c r="G428" s="13"/>
      <c r="H428" s="9" t="str">
        <f aca="false">IF(D428="","",IFERROR(INDEX(Materiali!$C:$C,MATCH(D428,Materiali!$A:$A,0)),0))</f>
        <v/>
      </c>
      <c r="I428" s="9" t="str">
        <f aca="false">IF(OR(G428="",H428=""),"",IF(F428="Uscita",-1,1)*G428*H428)</f>
        <v/>
      </c>
      <c r="J428" s="13"/>
      <c r="K428" s="13"/>
    </row>
    <row r="429" customFormat="false" ht="15" hidden="false" customHeight="false" outlineLevel="0" collapsed="false">
      <c r="A429" s="12"/>
      <c r="B429" s="13"/>
      <c r="C429" s="13"/>
      <c r="D429" s="13"/>
      <c r="E429" s="7" t="str">
        <f aca="false">IF(D429="","",IFERROR(INDEX(Materiali!$B:$B,MATCH(D429,Materiali!$A:$A,0)),"codice?"))</f>
        <v/>
      </c>
      <c r="F429" s="13"/>
      <c r="G429" s="13"/>
      <c r="H429" s="9" t="str">
        <f aca="false">IF(D429="","",IFERROR(INDEX(Materiali!$C:$C,MATCH(D429,Materiali!$A:$A,0)),0))</f>
        <v/>
      </c>
      <c r="I429" s="9" t="str">
        <f aca="false">IF(OR(G429="",H429=""),"",IF(F429="Uscita",-1,1)*G429*H429)</f>
        <v/>
      </c>
      <c r="J429" s="13"/>
      <c r="K429" s="13"/>
    </row>
    <row r="430" customFormat="false" ht="15" hidden="false" customHeight="false" outlineLevel="0" collapsed="false">
      <c r="A430" s="12"/>
      <c r="B430" s="13"/>
      <c r="C430" s="13"/>
      <c r="D430" s="13"/>
      <c r="E430" s="7" t="str">
        <f aca="false">IF(D430="","",IFERROR(INDEX(Materiali!$B:$B,MATCH(D430,Materiali!$A:$A,0)),"codice?"))</f>
        <v/>
      </c>
      <c r="F430" s="13"/>
      <c r="G430" s="13"/>
      <c r="H430" s="9" t="str">
        <f aca="false">IF(D430="","",IFERROR(INDEX(Materiali!$C:$C,MATCH(D430,Materiali!$A:$A,0)),0))</f>
        <v/>
      </c>
      <c r="I430" s="9" t="str">
        <f aca="false">IF(OR(G430="",H430=""),"",IF(F430="Uscita",-1,1)*G430*H430)</f>
        <v/>
      </c>
      <c r="J430" s="13"/>
      <c r="K430" s="13"/>
    </row>
    <row r="431" customFormat="false" ht="15" hidden="false" customHeight="false" outlineLevel="0" collapsed="false">
      <c r="A431" s="12"/>
      <c r="B431" s="13"/>
      <c r="C431" s="13"/>
      <c r="D431" s="13"/>
      <c r="E431" s="7" t="str">
        <f aca="false">IF(D431="","",IFERROR(INDEX(Materiali!$B:$B,MATCH(D431,Materiali!$A:$A,0)),"codice?"))</f>
        <v/>
      </c>
      <c r="F431" s="13"/>
      <c r="G431" s="13"/>
      <c r="H431" s="9" t="str">
        <f aca="false">IF(D431="","",IFERROR(INDEX(Materiali!$C:$C,MATCH(D431,Materiali!$A:$A,0)),0))</f>
        <v/>
      </c>
      <c r="I431" s="9" t="str">
        <f aca="false">IF(OR(G431="",H431=""),"",IF(F431="Uscita",-1,1)*G431*H431)</f>
        <v/>
      </c>
      <c r="J431" s="13"/>
      <c r="K431" s="13"/>
    </row>
    <row r="432" customFormat="false" ht="15" hidden="false" customHeight="false" outlineLevel="0" collapsed="false">
      <c r="A432" s="12"/>
      <c r="B432" s="13"/>
      <c r="C432" s="13"/>
      <c r="D432" s="13"/>
      <c r="E432" s="7" t="str">
        <f aca="false">IF(D432="","",IFERROR(INDEX(Materiali!$B:$B,MATCH(D432,Materiali!$A:$A,0)),"codice?"))</f>
        <v/>
      </c>
      <c r="F432" s="13"/>
      <c r="G432" s="13"/>
      <c r="H432" s="9" t="str">
        <f aca="false">IF(D432="","",IFERROR(INDEX(Materiali!$C:$C,MATCH(D432,Materiali!$A:$A,0)),0))</f>
        <v/>
      </c>
      <c r="I432" s="9" t="str">
        <f aca="false">IF(OR(G432="",H432=""),"",IF(F432="Uscita",-1,1)*G432*H432)</f>
        <v/>
      </c>
      <c r="J432" s="13"/>
      <c r="K432" s="13"/>
    </row>
    <row r="433" customFormat="false" ht="15" hidden="false" customHeight="false" outlineLevel="0" collapsed="false">
      <c r="A433" s="12"/>
      <c r="B433" s="13"/>
      <c r="C433" s="13"/>
      <c r="D433" s="13"/>
      <c r="E433" s="7" t="str">
        <f aca="false">IF(D433="","",IFERROR(INDEX(Materiali!$B:$B,MATCH(D433,Materiali!$A:$A,0)),"codice?"))</f>
        <v/>
      </c>
      <c r="F433" s="13"/>
      <c r="G433" s="13"/>
      <c r="H433" s="9" t="str">
        <f aca="false">IF(D433="","",IFERROR(INDEX(Materiali!$C:$C,MATCH(D433,Materiali!$A:$A,0)),0))</f>
        <v/>
      </c>
      <c r="I433" s="9" t="str">
        <f aca="false">IF(OR(G433="",H433=""),"",IF(F433="Uscita",-1,1)*G433*H433)</f>
        <v/>
      </c>
      <c r="J433" s="13"/>
      <c r="K433" s="13"/>
    </row>
    <row r="434" customFormat="false" ht="15" hidden="false" customHeight="false" outlineLevel="0" collapsed="false">
      <c r="A434" s="12"/>
      <c r="B434" s="13"/>
      <c r="C434" s="13"/>
      <c r="D434" s="13"/>
      <c r="E434" s="7" t="str">
        <f aca="false">IF(D434="","",IFERROR(INDEX(Materiali!$B:$B,MATCH(D434,Materiali!$A:$A,0)),"codice?"))</f>
        <v/>
      </c>
      <c r="F434" s="13"/>
      <c r="G434" s="13"/>
      <c r="H434" s="9" t="str">
        <f aca="false">IF(D434="","",IFERROR(INDEX(Materiali!$C:$C,MATCH(D434,Materiali!$A:$A,0)),0))</f>
        <v/>
      </c>
      <c r="I434" s="9" t="str">
        <f aca="false">IF(OR(G434="",H434=""),"",IF(F434="Uscita",-1,1)*G434*H434)</f>
        <v/>
      </c>
      <c r="J434" s="13"/>
      <c r="K434" s="13"/>
    </row>
    <row r="435" customFormat="false" ht="15" hidden="false" customHeight="false" outlineLevel="0" collapsed="false">
      <c r="A435" s="12"/>
      <c r="B435" s="13"/>
      <c r="C435" s="13"/>
      <c r="D435" s="13"/>
      <c r="E435" s="7" t="str">
        <f aca="false">IF(D435="","",IFERROR(INDEX(Materiali!$B:$B,MATCH(D435,Materiali!$A:$A,0)),"codice?"))</f>
        <v/>
      </c>
      <c r="F435" s="13"/>
      <c r="G435" s="13"/>
      <c r="H435" s="9" t="str">
        <f aca="false">IF(D435="","",IFERROR(INDEX(Materiali!$C:$C,MATCH(D435,Materiali!$A:$A,0)),0))</f>
        <v/>
      </c>
      <c r="I435" s="9" t="str">
        <f aca="false">IF(OR(G435="",H435=""),"",IF(F435="Uscita",-1,1)*G435*H435)</f>
        <v/>
      </c>
      <c r="J435" s="13"/>
      <c r="K435" s="13"/>
    </row>
    <row r="436" customFormat="false" ht="15" hidden="false" customHeight="false" outlineLevel="0" collapsed="false">
      <c r="A436" s="12"/>
      <c r="B436" s="13"/>
      <c r="C436" s="13"/>
      <c r="D436" s="13"/>
      <c r="E436" s="7" t="str">
        <f aca="false">IF(D436="","",IFERROR(INDEX(Materiali!$B:$B,MATCH(D436,Materiali!$A:$A,0)),"codice?"))</f>
        <v/>
      </c>
      <c r="F436" s="13"/>
      <c r="G436" s="13"/>
      <c r="H436" s="9" t="str">
        <f aca="false">IF(D436="","",IFERROR(INDEX(Materiali!$C:$C,MATCH(D436,Materiali!$A:$A,0)),0))</f>
        <v/>
      </c>
      <c r="I436" s="9" t="str">
        <f aca="false">IF(OR(G436="",H436=""),"",IF(F436="Uscita",-1,1)*G436*H436)</f>
        <v/>
      </c>
      <c r="J436" s="13"/>
      <c r="K436" s="13"/>
    </row>
    <row r="437" customFormat="false" ht="15" hidden="false" customHeight="false" outlineLevel="0" collapsed="false">
      <c r="A437" s="12"/>
      <c r="B437" s="13"/>
      <c r="C437" s="13"/>
      <c r="D437" s="13"/>
      <c r="E437" s="7" t="str">
        <f aca="false">IF(D437="","",IFERROR(INDEX(Materiali!$B:$B,MATCH(D437,Materiali!$A:$A,0)),"codice?"))</f>
        <v/>
      </c>
      <c r="F437" s="13"/>
      <c r="G437" s="13"/>
      <c r="H437" s="9" t="str">
        <f aca="false">IF(D437="","",IFERROR(INDEX(Materiali!$C:$C,MATCH(D437,Materiali!$A:$A,0)),0))</f>
        <v/>
      </c>
      <c r="I437" s="9" t="str">
        <f aca="false">IF(OR(G437="",H437=""),"",IF(F437="Uscita",-1,1)*G437*H437)</f>
        <v/>
      </c>
      <c r="J437" s="13"/>
      <c r="K437" s="13"/>
    </row>
    <row r="438" customFormat="false" ht="15" hidden="false" customHeight="false" outlineLevel="0" collapsed="false">
      <c r="A438" s="12"/>
      <c r="B438" s="13"/>
      <c r="C438" s="13"/>
      <c r="D438" s="13"/>
      <c r="E438" s="7" t="str">
        <f aca="false">IF(D438="","",IFERROR(INDEX(Materiali!$B:$B,MATCH(D438,Materiali!$A:$A,0)),"codice?"))</f>
        <v/>
      </c>
      <c r="F438" s="13"/>
      <c r="G438" s="13"/>
      <c r="H438" s="9" t="str">
        <f aca="false">IF(D438="","",IFERROR(INDEX(Materiali!$C:$C,MATCH(D438,Materiali!$A:$A,0)),0))</f>
        <v/>
      </c>
      <c r="I438" s="9" t="str">
        <f aca="false">IF(OR(G438="",H438=""),"",IF(F438="Uscita",-1,1)*G438*H438)</f>
        <v/>
      </c>
      <c r="J438" s="13"/>
      <c r="K438" s="13"/>
    </row>
    <row r="439" customFormat="false" ht="15" hidden="false" customHeight="false" outlineLevel="0" collapsed="false">
      <c r="A439" s="12"/>
      <c r="B439" s="13"/>
      <c r="C439" s="13"/>
      <c r="D439" s="13"/>
      <c r="E439" s="7" t="str">
        <f aca="false">IF(D439="","",IFERROR(INDEX(Materiali!$B:$B,MATCH(D439,Materiali!$A:$A,0)),"codice?"))</f>
        <v/>
      </c>
      <c r="F439" s="13"/>
      <c r="G439" s="13"/>
      <c r="H439" s="9" t="str">
        <f aca="false">IF(D439="","",IFERROR(INDEX(Materiali!$C:$C,MATCH(D439,Materiali!$A:$A,0)),0))</f>
        <v/>
      </c>
      <c r="I439" s="9" t="str">
        <f aca="false">IF(OR(G439="",H439=""),"",IF(F439="Uscita",-1,1)*G439*H439)</f>
        <v/>
      </c>
      <c r="J439" s="13"/>
      <c r="K439" s="13"/>
    </row>
    <row r="440" customFormat="false" ht="15" hidden="false" customHeight="false" outlineLevel="0" collapsed="false">
      <c r="A440" s="12"/>
      <c r="B440" s="13"/>
      <c r="C440" s="13"/>
      <c r="D440" s="13"/>
      <c r="E440" s="7" t="str">
        <f aca="false">IF(D440="","",IFERROR(INDEX(Materiali!$B:$B,MATCH(D440,Materiali!$A:$A,0)),"codice?"))</f>
        <v/>
      </c>
      <c r="F440" s="13"/>
      <c r="G440" s="13"/>
      <c r="H440" s="9" t="str">
        <f aca="false">IF(D440="","",IFERROR(INDEX(Materiali!$C:$C,MATCH(D440,Materiali!$A:$A,0)),0))</f>
        <v/>
      </c>
      <c r="I440" s="9" t="str">
        <f aca="false">IF(OR(G440="",H440=""),"",IF(F440="Uscita",-1,1)*G440*H440)</f>
        <v/>
      </c>
      <c r="J440" s="13"/>
      <c r="K440" s="13"/>
    </row>
    <row r="441" customFormat="false" ht="15" hidden="false" customHeight="false" outlineLevel="0" collapsed="false">
      <c r="A441" s="12"/>
      <c r="B441" s="13"/>
      <c r="C441" s="13"/>
      <c r="D441" s="13"/>
      <c r="E441" s="7" t="str">
        <f aca="false">IF(D441="","",IFERROR(INDEX(Materiali!$B:$B,MATCH(D441,Materiali!$A:$A,0)),"codice?"))</f>
        <v/>
      </c>
      <c r="F441" s="13"/>
      <c r="G441" s="13"/>
      <c r="H441" s="9" t="str">
        <f aca="false">IF(D441="","",IFERROR(INDEX(Materiali!$C:$C,MATCH(D441,Materiali!$A:$A,0)),0))</f>
        <v/>
      </c>
      <c r="I441" s="9" t="str">
        <f aca="false">IF(OR(G441="",H441=""),"",IF(F441="Uscita",-1,1)*G441*H441)</f>
        <v/>
      </c>
      <c r="J441" s="13"/>
      <c r="K441" s="13"/>
    </row>
    <row r="442" customFormat="false" ht="15" hidden="false" customHeight="false" outlineLevel="0" collapsed="false">
      <c r="A442" s="12"/>
      <c r="B442" s="13"/>
      <c r="C442" s="13"/>
      <c r="D442" s="13"/>
      <c r="E442" s="7" t="str">
        <f aca="false">IF(D442="","",IFERROR(INDEX(Materiali!$B:$B,MATCH(D442,Materiali!$A:$A,0)),"codice?"))</f>
        <v/>
      </c>
      <c r="F442" s="13"/>
      <c r="G442" s="13"/>
      <c r="H442" s="9" t="str">
        <f aca="false">IF(D442="","",IFERROR(INDEX(Materiali!$C:$C,MATCH(D442,Materiali!$A:$A,0)),0))</f>
        <v/>
      </c>
      <c r="I442" s="9" t="str">
        <f aca="false">IF(OR(G442="",H442=""),"",IF(F442="Uscita",-1,1)*G442*H442)</f>
        <v/>
      </c>
      <c r="J442" s="13"/>
      <c r="K442" s="13"/>
    </row>
    <row r="443" customFormat="false" ht="15" hidden="false" customHeight="false" outlineLevel="0" collapsed="false">
      <c r="A443" s="12"/>
      <c r="B443" s="13"/>
      <c r="C443" s="13"/>
      <c r="D443" s="13"/>
      <c r="E443" s="7" t="str">
        <f aca="false">IF(D443="","",IFERROR(INDEX(Materiali!$B:$B,MATCH(D443,Materiali!$A:$A,0)),"codice?"))</f>
        <v/>
      </c>
      <c r="F443" s="13"/>
      <c r="G443" s="13"/>
      <c r="H443" s="9" t="str">
        <f aca="false">IF(D443="","",IFERROR(INDEX(Materiali!$C:$C,MATCH(D443,Materiali!$A:$A,0)),0))</f>
        <v/>
      </c>
      <c r="I443" s="9" t="str">
        <f aca="false">IF(OR(G443="",H443=""),"",IF(F443="Uscita",-1,1)*G443*H443)</f>
        <v/>
      </c>
      <c r="J443" s="13"/>
      <c r="K443" s="13"/>
    </row>
    <row r="444" customFormat="false" ht="15" hidden="false" customHeight="false" outlineLevel="0" collapsed="false">
      <c r="A444" s="12"/>
      <c r="B444" s="13"/>
      <c r="C444" s="13"/>
      <c r="D444" s="13"/>
      <c r="E444" s="7" t="str">
        <f aca="false">IF(D444="","",IFERROR(INDEX(Materiali!$B:$B,MATCH(D444,Materiali!$A:$A,0)),"codice?"))</f>
        <v/>
      </c>
      <c r="F444" s="13"/>
      <c r="G444" s="13"/>
      <c r="H444" s="9" t="str">
        <f aca="false">IF(D444="","",IFERROR(INDEX(Materiali!$C:$C,MATCH(D444,Materiali!$A:$A,0)),0))</f>
        <v/>
      </c>
      <c r="I444" s="9" t="str">
        <f aca="false">IF(OR(G444="",H444=""),"",IF(F444="Uscita",-1,1)*G444*H444)</f>
        <v/>
      </c>
      <c r="J444" s="13"/>
      <c r="K444" s="13"/>
    </row>
    <row r="445" customFormat="false" ht="15" hidden="false" customHeight="false" outlineLevel="0" collapsed="false">
      <c r="A445" s="12"/>
      <c r="B445" s="13"/>
      <c r="C445" s="13"/>
      <c r="D445" s="13"/>
      <c r="E445" s="7" t="str">
        <f aca="false">IF(D445="","",IFERROR(INDEX(Materiali!$B:$B,MATCH(D445,Materiali!$A:$A,0)),"codice?"))</f>
        <v/>
      </c>
      <c r="F445" s="13"/>
      <c r="G445" s="13"/>
      <c r="H445" s="9" t="str">
        <f aca="false">IF(D445="","",IFERROR(INDEX(Materiali!$C:$C,MATCH(D445,Materiali!$A:$A,0)),0))</f>
        <v/>
      </c>
      <c r="I445" s="9" t="str">
        <f aca="false">IF(OR(G445="",H445=""),"",IF(F445="Uscita",-1,1)*G445*H445)</f>
        <v/>
      </c>
      <c r="J445" s="13"/>
      <c r="K445" s="13"/>
    </row>
    <row r="446" customFormat="false" ht="15" hidden="false" customHeight="false" outlineLevel="0" collapsed="false">
      <c r="A446" s="12"/>
      <c r="B446" s="13"/>
      <c r="C446" s="13"/>
      <c r="D446" s="13"/>
      <c r="E446" s="7" t="str">
        <f aca="false">IF(D446="","",IFERROR(INDEX(Materiali!$B:$B,MATCH(D446,Materiali!$A:$A,0)),"codice?"))</f>
        <v/>
      </c>
      <c r="F446" s="13"/>
      <c r="G446" s="13"/>
      <c r="H446" s="9" t="str">
        <f aca="false">IF(D446="","",IFERROR(INDEX(Materiali!$C:$C,MATCH(D446,Materiali!$A:$A,0)),0))</f>
        <v/>
      </c>
      <c r="I446" s="9" t="str">
        <f aca="false">IF(OR(G446="",H446=""),"",IF(F446="Uscita",-1,1)*G446*H446)</f>
        <v/>
      </c>
      <c r="J446" s="13"/>
      <c r="K446" s="13"/>
    </row>
    <row r="447" customFormat="false" ht="15" hidden="false" customHeight="false" outlineLevel="0" collapsed="false">
      <c r="A447" s="12"/>
      <c r="B447" s="13"/>
      <c r="C447" s="13"/>
      <c r="D447" s="13"/>
      <c r="E447" s="7" t="str">
        <f aca="false">IF(D447="","",IFERROR(INDEX(Materiali!$B:$B,MATCH(D447,Materiali!$A:$A,0)),"codice?"))</f>
        <v/>
      </c>
      <c r="F447" s="13"/>
      <c r="G447" s="13"/>
      <c r="H447" s="9" t="str">
        <f aca="false">IF(D447="","",IFERROR(INDEX(Materiali!$C:$C,MATCH(D447,Materiali!$A:$A,0)),0))</f>
        <v/>
      </c>
      <c r="I447" s="9" t="str">
        <f aca="false">IF(OR(G447="",H447=""),"",IF(F447="Uscita",-1,1)*G447*H447)</f>
        <v/>
      </c>
      <c r="J447" s="13"/>
      <c r="K447" s="13"/>
    </row>
    <row r="448" customFormat="false" ht="15" hidden="false" customHeight="false" outlineLevel="0" collapsed="false">
      <c r="A448" s="12"/>
      <c r="B448" s="13"/>
      <c r="C448" s="13"/>
      <c r="D448" s="13"/>
      <c r="E448" s="7" t="str">
        <f aca="false">IF(D448="","",IFERROR(INDEX(Materiali!$B:$B,MATCH(D448,Materiali!$A:$A,0)),"codice?"))</f>
        <v/>
      </c>
      <c r="F448" s="13"/>
      <c r="G448" s="13"/>
      <c r="H448" s="9" t="str">
        <f aca="false">IF(D448="","",IFERROR(INDEX(Materiali!$C:$C,MATCH(D448,Materiali!$A:$A,0)),0))</f>
        <v/>
      </c>
      <c r="I448" s="9" t="str">
        <f aca="false">IF(OR(G448="",H448=""),"",IF(F448="Uscita",-1,1)*G448*H448)</f>
        <v/>
      </c>
      <c r="J448" s="13"/>
      <c r="K448" s="13"/>
    </row>
    <row r="449" customFormat="false" ht="15" hidden="false" customHeight="false" outlineLevel="0" collapsed="false">
      <c r="A449" s="12"/>
      <c r="B449" s="13"/>
      <c r="C449" s="13"/>
      <c r="D449" s="13"/>
      <c r="E449" s="7" t="str">
        <f aca="false">IF(D449="","",IFERROR(INDEX(Materiali!$B:$B,MATCH(D449,Materiali!$A:$A,0)),"codice?"))</f>
        <v/>
      </c>
      <c r="F449" s="13"/>
      <c r="G449" s="13"/>
      <c r="H449" s="9" t="str">
        <f aca="false">IF(D449="","",IFERROR(INDEX(Materiali!$C:$C,MATCH(D449,Materiali!$A:$A,0)),0))</f>
        <v/>
      </c>
      <c r="I449" s="9" t="str">
        <f aca="false">IF(OR(G449="",H449=""),"",IF(F449="Uscita",-1,1)*G449*H449)</f>
        <v/>
      </c>
      <c r="J449" s="13"/>
      <c r="K449" s="13"/>
    </row>
    <row r="450" customFormat="false" ht="15" hidden="false" customHeight="false" outlineLevel="0" collapsed="false">
      <c r="A450" s="12"/>
      <c r="B450" s="13"/>
      <c r="C450" s="13"/>
      <c r="D450" s="13"/>
      <c r="E450" s="7" t="str">
        <f aca="false">IF(D450="","",IFERROR(INDEX(Materiali!$B:$B,MATCH(D450,Materiali!$A:$A,0)),"codice?"))</f>
        <v/>
      </c>
      <c r="F450" s="13"/>
      <c r="G450" s="13"/>
      <c r="H450" s="9" t="str">
        <f aca="false">IF(D450="","",IFERROR(INDEX(Materiali!$C:$C,MATCH(D450,Materiali!$A:$A,0)),0))</f>
        <v/>
      </c>
      <c r="I450" s="9" t="str">
        <f aca="false">IF(OR(G450="",H450=""),"",IF(F450="Uscita",-1,1)*G450*H450)</f>
        <v/>
      </c>
      <c r="J450" s="13"/>
      <c r="K450" s="13"/>
    </row>
    <row r="451" customFormat="false" ht="15" hidden="false" customHeight="false" outlineLevel="0" collapsed="false">
      <c r="A451" s="12"/>
      <c r="B451" s="13"/>
      <c r="C451" s="13"/>
      <c r="D451" s="13"/>
      <c r="E451" s="7" t="str">
        <f aca="false">IF(D451="","",IFERROR(INDEX(Materiali!$B:$B,MATCH(D451,Materiali!$A:$A,0)),"codice?"))</f>
        <v/>
      </c>
      <c r="F451" s="13"/>
      <c r="G451" s="13"/>
      <c r="H451" s="9" t="str">
        <f aca="false">IF(D451="","",IFERROR(INDEX(Materiali!$C:$C,MATCH(D451,Materiali!$A:$A,0)),0))</f>
        <v/>
      </c>
      <c r="I451" s="9" t="str">
        <f aca="false">IF(OR(G451="",H451=""),"",IF(F451="Uscita",-1,1)*G451*H451)</f>
        <v/>
      </c>
      <c r="J451" s="13"/>
      <c r="K451" s="13"/>
    </row>
    <row r="452" customFormat="false" ht="15" hidden="false" customHeight="false" outlineLevel="0" collapsed="false">
      <c r="A452" s="12"/>
      <c r="B452" s="13"/>
      <c r="C452" s="13"/>
      <c r="D452" s="13"/>
      <c r="E452" s="7" t="str">
        <f aca="false">IF(D452="","",IFERROR(INDEX(Materiali!$B:$B,MATCH(D452,Materiali!$A:$A,0)),"codice?"))</f>
        <v/>
      </c>
      <c r="F452" s="13"/>
      <c r="G452" s="13"/>
      <c r="H452" s="9" t="str">
        <f aca="false">IF(D452="","",IFERROR(INDEX(Materiali!$C:$C,MATCH(D452,Materiali!$A:$A,0)),0))</f>
        <v/>
      </c>
      <c r="I452" s="9" t="str">
        <f aca="false">IF(OR(G452="",H452=""),"",IF(F452="Uscita",-1,1)*G452*H452)</f>
        <v/>
      </c>
      <c r="J452" s="13"/>
      <c r="K452" s="13"/>
    </row>
    <row r="453" customFormat="false" ht="15" hidden="false" customHeight="false" outlineLevel="0" collapsed="false">
      <c r="A453" s="12"/>
      <c r="B453" s="13"/>
      <c r="C453" s="13"/>
      <c r="D453" s="13"/>
      <c r="E453" s="7" t="str">
        <f aca="false">IF(D453="","",IFERROR(INDEX(Materiali!$B:$B,MATCH(D453,Materiali!$A:$A,0)),"codice?"))</f>
        <v/>
      </c>
      <c r="F453" s="13"/>
      <c r="G453" s="13"/>
      <c r="H453" s="9" t="str">
        <f aca="false">IF(D453="","",IFERROR(INDEX(Materiali!$C:$C,MATCH(D453,Materiali!$A:$A,0)),0))</f>
        <v/>
      </c>
      <c r="I453" s="9" t="str">
        <f aca="false">IF(OR(G453="",H453=""),"",IF(F453="Uscita",-1,1)*G453*H453)</f>
        <v/>
      </c>
      <c r="J453" s="13"/>
      <c r="K453" s="13"/>
    </row>
    <row r="454" customFormat="false" ht="15" hidden="false" customHeight="false" outlineLevel="0" collapsed="false">
      <c r="A454" s="12"/>
      <c r="B454" s="13"/>
      <c r="C454" s="13"/>
      <c r="D454" s="13"/>
      <c r="E454" s="7" t="str">
        <f aca="false">IF(D454="","",IFERROR(INDEX(Materiali!$B:$B,MATCH(D454,Materiali!$A:$A,0)),"codice?"))</f>
        <v/>
      </c>
      <c r="F454" s="13"/>
      <c r="G454" s="13"/>
      <c r="H454" s="9" t="str">
        <f aca="false">IF(D454="","",IFERROR(INDEX(Materiali!$C:$C,MATCH(D454,Materiali!$A:$A,0)),0))</f>
        <v/>
      </c>
      <c r="I454" s="9" t="str">
        <f aca="false">IF(OR(G454="",H454=""),"",IF(F454="Uscita",-1,1)*G454*H454)</f>
        <v/>
      </c>
      <c r="J454" s="13"/>
      <c r="K454" s="13"/>
    </row>
    <row r="455" customFormat="false" ht="15" hidden="false" customHeight="false" outlineLevel="0" collapsed="false">
      <c r="A455" s="12"/>
      <c r="B455" s="13"/>
      <c r="C455" s="13"/>
      <c r="D455" s="13"/>
      <c r="E455" s="7" t="str">
        <f aca="false">IF(D455="","",IFERROR(INDEX(Materiali!$B:$B,MATCH(D455,Materiali!$A:$A,0)),"codice?"))</f>
        <v/>
      </c>
      <c r="F455" s="13"/>
      <c r="G455" s="13"/>
      <c r="H455" s="9" t="str">
        <f aca="false">IF(D455="","",IFERROR(INDEX(Materiali!$C:$C,MATCH(D455,Materiali!$A:$A,0)),0))</f>
        <v/>
      </c>
      <c r="I455" s="9" t="str">
        <f aca="false">IF(OR(G455="",H455=""),"",IF(F455="Uscita",-1,1)*G455*H455)</f>
        <v/>
      </c>
      <c r="J455" s="13"/>
      <c r="K455" s="13"/>
    </row>
    <row r="456" customFormat="false" ht="15" hidden="false" customHeight="false" outlineLevel="0" collapsed="false">
      <c r="A456" s="12"/>
      <c r="B456" s="13"/>
      <c r="C456" s="13"/>
      <c r="D456" s="13"/>
      <c r="E456" s="7" t="str">
        <f aca="false">IF(D456="","",IFERROR(INDEX(Materiali!$B:$B,MATCH(D456,Materiali!$A:$A,0)),"codice?"))</f>
        <v/>
      </c>
      <c r="F456" s="13"/>
      <c r="G456" s="13"/>
      <c r="H456" s="9" t="str">
        <f aca="false">IF(D456="","",IFERROR(INDEX(Materiali!$C:$C,MATCH(D456,Materiali!$A:$A,0)),0))</f>
        <v/>
      </c>
      <c r="I456" s="9" t="str">
        <f aca="false">IF(OR(G456="",H456=""),"",IF(F456="Uscita",-1,1)*G456*H456)</f>
        <v/>
      </c>
      <c r="J456" s="13"/>
      <c r="K456" s="13"/>
    </row>
    <row r="457" customFormat="false" ht="15" hidden="false" customHeight="false" outlineLevel="0" collapsed="false">
      <c r="A457" s="12"/>
      <c r="B457" s="13"/>
      <c r="C457" s="13"/>
      <c r="D457" s="13"/>
      <c r="E457" s="7" t="str">
        <f aca="false">IF(D457="","",IFERROR(INDEX(Materiali!$B:$B,MATCH(D457,Materiali!$A:$A,0)),"codice?"))</f>
        <v/>
      </c>
      <c r="F457" s="13"/>
      <c r="G457" s="13"/>
      <c r="H457" s="9" t="str">
        <f aca="false">IF(D457="","",IFERROR(INDEX(Materiali!$C:$C,MATCH(D457,Materiali!$A:$A,0)),0))</f>
        <v/>
      </c>
      <c r="I457" s="9" t="str">
        <f aca="false">IF(OR(G457="",H457=""),"",IF(F457="Uscita",-1,1)*G457*H457)</f>
        <v/>
      </c>
      <c r="J457" s="13"/>
      <c r="K457" s="13"/>
    </row>
    <row r="458" customFormat="false" ht="15" hidden="false" customHeight="false" outlineLevel="0" collapsed="false">
      <c r="A458" s="12"/>
      <c r="B458" s="13"/>
      <c r="C458" s="13"/>
      <c r="D458" s="13"/>
      <c r="E458" s="7" t="str">
        <f aca="false">IF(D458="","",IFERROR(INDEX(Materiali!$B:$B,MATCH(D458,Materiali!$A:$A,0)),"codice?"))</f>
        <v/>
      </c>
      <c r="F458" s="13"/>
      <c r="G458" s="13"/>
      <c r="H458" s="9" t="str">
        <f aca="false">IF(D458="","",IFERROR(INDEX(Materiali!$C:$C,MATCH(D458,Materiali!$A:$A,0)),0))</f>
        <v/>
      </c>
      <c r="I458" s="9" t="str">
        <f aca="false">IF(OR(G458="",H458=""),"",IF(F458="Uscita",-1,1)*G458*H458)</f>
        <v/>
      </c>
      <c r="J458" s="13"/>
      <c r="K458" s="13"/>
    </row>
    <row r="459" customFormat="false" ht="15" hidden="false" customHeight="false" outlineLevel="0" collapsed="false">
      <c r="A459" s="12"/>
      <c r="B459" s="13"/>
      <c r="C459" s="13"/>
      <c r="D459" s="13"/>
      <c r="E459" s="7" t="str">
        <f aca="false">IF(D459="","",IFERROR(INDEX(Materiali!$B:$B,MATCH(D459,Materiali!$A:$A,0)),"codice?"))</f>
        <v/>
      </c>
      <c r="F459" s="13"/>
      <c r="G459" s="13"/>
      <c r="H459" s="9" t="str">
        <f aca="false">IF(D459="","",IFERROR(INDEX(Materiali!$C:$C,MATCH(D459,Materiali!$A:$A,0)),0))</f>
        <v/>
      </c>
      <c r="I459" s="9" t="str">
        <f aca="false">IF(OR(G459="",H459=""),"",IF(F459="Uscita",-1,1)*G459*H459)</f>
        <v/>
      </c>
      <c r="J459" s="13"/>
      <c r="K459" s="13"/>
    </row>
    <row r="460" customFormat="false" ht="15" hidden="false" customHeight="false" outlineLevel="0" collapsed="false">
      <c r="A460" s="12"/>
      <c r="B460" s="13"/>
      <c r="C460" s="13"/>
      <c r="D460" s="13"/>
      <c r="E460" s="7" t="str">
        <f aca="false">IF(D460="","",IFERROR(INDEX(Materiali!$B:$B,MATCH(D460,Materiali!$A:$A,0)),"codice?"))</f>
        <v/>
      </c>
      <c r="F460" s="13"/>
      <c r="G460" s="13"/>
      <c r="H460" s="9" t="str">
        <f aca="false">IF(D460="","",IFERROR(INDEX(Materiali!$C:$C,MATCH(D460,Materiali!$A:$A,0)),0))</f>
        <v/>
      </c>
      <c r="I460" s="9" t="str">
        <f aca="false">IF(OR(G460="",H460=""),"",IF(F460="Uscita",-1,1)*G460*H460)</f>
        <v/>
      </c>
      <c r="J460" s="13"/>
      <c r="K460" s="13"/>
    </row>
    <row r="461" customFormat="false" ht="15" hidden="false" customHeight="false" outlineLevel="0" collapsed="false">
      <c r="A461" s="12"/>
      <c r="B461" s="13"/>
      <c r="C461" s="13"/>
      <c r="D461" s="13"/>
      <c r="E461" s="7" t="str">
        <f aca="false">IF(D461="","",IFERROR(INDEX(Materiali!$B:$B,MATCH(D461,Materiali!$A:$A,0)),"codice?"))</f>
        <v/>
      </c>
      <c r="F461" s="13"/>
      <c r="G461" s="13"/>
      <c r="H461" s="9" t="str">
        <f aca="false">IF(D461="","",IFERROR(INDEX(Materiali!$C:$C,MATCH(D461,Materiali!$A:$A,0)),0))</f>
        <v/>
      </c>
      <c r="I461" s="9" t="str">
        <f aca="false">IF(OR(G461="",H461=""),"",IF(F461="Uscita",-1,1)*G461*H461)</f>
        <v/>
      </c>
      <c r="J461" s="13"/>
      <c r="K461" s="13"/>
    </row>
    <row r="462" customFormat="false" ht="15" hidden="false" customHeight="false" outlineLevel="0" collapsed="false">
      <c r="A462" s="12"/>
      <c r="B462" s="13"/>
      <c r="C462" s="13"/>
      <c r="D462" s="13"/>
      <c r="E462" s="7" t="str">
        <f aca="false">IF(D462="","",IFERROR(INDEX(Materiali!$B:$B,MATCH(D462,Materiali!$A:$A,0)),"codice?"))</f>
        <v/>
      </c>
      <c r="F462" s="13"/>
      <c r="G462" s="13"/>
      <c r="H462" s="9" t="str">
        <f aca="false">IF(D462="","",IFERROR(INDEX(Materiali!$C:$C,MATCH(D462,Materiali!$A:$A,0)),0))</f>
        <v/>
      </c>
      <c r="I462" s="9" t="str">
        <f aca="false">IF(OR(G462="",H462=""),"",IF(F462="Uscita",-1,1)*G462*H462)</f>
        <v/>
      </c>
      <c r="J462" s="13"/>
      <c r="K462" s="13"/>
    </row>
    <row r="463" customFormat="false" ht="15" hidden="false" customHeight="false" outlineLevel="0" collapsed="false">
      <c r="A463" s="12"/>
      <c r="B463" s="13"/>
      <c r="C463" s="13"/>
      <c r="D463" s="13"/>
      <c r="E463" s="7" t="str">
        <f aca="false">IF(D463="","",IFERROR(INDEX(Materiali!$B:$B,MATCH(D463,Materiali!$A:$A,0)),"codice?"))</f>
        <v/>
      </c>
      <c r="F463" s="13"/>
      <c r="G463" s="13"/>
      <c r="H463" s="9" t="str">
        <f aca="false">IF(D463="","",IFERROR(INDEX(Materiali!$C:$C,MATCH(D463,Materiali!$A:$A,0)),0))</f>
        <v/>
      </c>
      <c r="I463" s="9" t="str">
        <f aca="false">IF(OR(G463="",H463=""),"",IF(F463="Uscita",-1,1)*G463*H463)</f>
        <v/>
      </c>
      <c r="J463" s="13"/>
      <c r="K463" s="13"/>
    </row>
    <row r="464" customFormat="false" ht="15" hidden="false" customHeight="false" outlineLevel="0" collapsed="false">
      <c r="A464" s="12"/>
      <c r="B464" s="13"/>
      <c r="C464" s="13"/>
      <c r="D464" s="13"/>
      <c r="E464" s="7" t="str">
        <f aca="false">IF(D464="","",IFERROR(INDEX(Materiali!$B:$B,MATCH(D464,Materiali!$A:$A,0)),"codice?"))</f>
        <v/>
      </c>
      <c r="F464" s="13"/>
      <c r="G464" s="13"/>
      <c r="H464" s="9" t="str">
        <f aca="false">IF(D464="","",IFERROR(INDEX(Materiali!$C:$C,MATCH(D464,Materiali!$A:$A,0)),0))</f>
        <v/>
      </c>
      <c r="I464" s="9" t="str">
        <f aca="false">IF(OR(G464="",H464=""),"",IF(F464="Uscita",-1,1)*G464*H464)</f>
        <v/>
      </c>
      <c r="J464" s="13"/>
      <c r="K464" s="13"/>
    </row>
    <row r="465" customFormat="false" ht="15" hidden="false" customHeight="false" outlineLevel="0" collapsed="false">
      <c r="A465" s="12"/>
      <c r="B465" s="13"/>
      <c r="C465" s="13"/>
      <c r="D465" s="13"/>
      <c r="E465" s="7" t="str">
        <f aca="false">IF(D465="","",IFERROR(INDEX(Materiali!$B:$B,MATCH(D465,Materiali!$A:$A,0)),"codice?"))</f>
        <v/>
      </c>
      <c r="F465" s="13"/>
      <c r="G465" s="13"/>
      <c r="H465" s="9" t="str">
        <f aca="false">IF(D465="","",IFERROR(INDEX(Materiali!$C:$C,MATCH(D465,Materiali!$A:$A,0)),0))</f>
        <v/>
      </c>
      <c r="I465" s="9" t="str">
        <f aca="false">IF(OR(G465="",H465=""),"",IF(F465="Uscita",-1,1)*G465*H465)</f>
        <v/>
      </c>
      <c r="J465" s="13"/>
      <c r="K465" s="13"/>
    </row>
    <row r="466" customFormat="false" ht="15" hidden="false" customHeight="false" outlineLevel="0" collapsed="false">
      <c r="A466" s="12"/>
      <c r="B466" s="13"/>
      <c r="C466" s="13"/>
      <c r="D466" s="13"/>
      <c r="E466" s="7" t="str">
        <f aca="false">IF(D466="","",IFERROR(INDEX(Materiali!$B:$B,MATCH(D466,Materiali!$A:$A,0)),"codice?"))</f>
        <v/>
      </c>
      <c r="F466" s="13"/>
      <c r="G466" s="13"/>
      <c r="H466" s="9" t="str">
        <f aca="false">IF(D466="","",IFERROR(INDEX(Materiali!$C:$C,MATCH(D466,Materiali!$A:$A,0)),0))</f>
        <v/>
      </c>
      <c r="I466" s="9" t="str">
        <f aca="false">IF(OR(G466="",H466=""),"",IF(F466="Uscita",-1,1)*G466*H466)</f>
        <v/>
      </c>
      <c r="J466" s="13"/>
      <c r="K466" s="13"/>
    </row>
    <row r="467" customFormat="false" ht="15" hidden="false" customHeight="false" outlineLevel="0" collapsed="false">
      <c r="A467" s="12"/>
      <c r="B467" s="13"/>
      <c r="C467" s="13"/>
      <c r="D467" s="13"/>
      <c r="E467" s="7" t="str">
        <f aca="false">IF(D467="","",IFERROR(INDEX(Materiali!$B:$B,MATCH(D467,Materiali!$A:$A,0)),"codice?"))</f>
        <v/>
      </c>
      <c r="F467" s="13"/>
      <c r="G467" s="13"/>
      <c r="H467" s="9" t="str">
        <f aca="false">IF(D467="","",IFERROR(INDEX(Materiali!$C:$C,MATCH(D467,Materiali!$A:$A,0)),0))</f>
        <v/>
      </c>
      <c r="I467" s="9" t="str">
        <f aca="false">IF(OR(G467="",H467=""),"",IF(F467="Uscita",-1,1)*G467*H467)</f>
        <v/>
      </c>
      <c r="J467" s="13"/>
      <c r="K467" s="13"/>
    </row>
    <row r="468" customFormat="false" ht="15" hidden="false" customHeight="false" outlineLevel="0" collapsed="false">
      <c r="A468" s="12"/>
      <c r="B468" s="13"/>
      <c r="C468" s="13"/>
      <c r="D468" s="13"/>
      <c r="E468" s="7" t="str">
        <f aca="false">IF(D468="","",IFERROR(INDEX(Materiali!$B:$B,MATCH(D468,Materiali!$A:$A,0)),"codice?"))</f>
        <v/>
      </c>
      <c r="F468" s="13"/>
      <c r="G468" s="13"/>
      <c r="H468" s="9" t="str">
        <f aca="false">IF(D468="","",IFERROR(INDEX(Materiali!$C:$C,MATCH(D468,Materiali!$A:$A,0)),0))</f>
        <v/>
      </c>
      <c r="I468" s="9" t="str">
        <f aca="false">IF(OR(G468="",H468=""),"",IF(F468="Uscita",-1,1)*G468*H468)</f>
        <v/>
      </c>
      <c r="J468" s="13"/>
      <c r="K468" s="13"/>
    </row>
    <row r="469" customFormat="false" ht="15" hidden="false" customHeight="false" outlineLevel="0" collapsed="false">
      <c r="A469" s="12"/>
      <c r="B469" s="13"/>
      <c r="C469" s="13"/>
      <c r="D469" s="13"/>
      <c r="E469" s="7" t="str">
        <f aca="false">IF(D469="","",IFERROR(INDEX(Materiali!$B:$B,MATCH(D469,Materiali!$A:$A,0)),"codice?"))</f>
        <v/>
      </c>
      <c r="F469" s="13"/>
      <c r="G469" s="13"/>
      <c r="H469" s="9" t="str">
        <f aca="false">IF(D469="","",IFERROR(INDEX(Materiali!$C:$C,MATCH(D469,Materiali!$A:$A,0)),0))</f>
        <v/>
      </c>
      <c r="I469" s="9" t="str">
        <f aca="false">IF(OR(G469="",H469=""),"",IF(F469="Uscita",-1,1)*G469*H469)</f>
        <v/>
      </c>
      <c r="J469" s="13"/>
      <c r="K469" s="13"/>
    </row>
    <row r="470" customFormat="false" ht="15" hidden="false" customHeight="false" outlineLevel="0" collapsed="false">
      <c r="A470" s="12"/>
      <c r="B470" s="13"/>
      <c r="C470" s="13"/>
      <c r="D470" s="13"/>
      <c r="E470" s="7" t="str">
        <f aca="false">IF(D470="","",IFERROR(INDEX(Materiali!$B:$B,MATCH(D470,Materiali!$A:$A,0)),"codice?"))</f>
        <v/>
      </c>
      <c r="F470" s="13"/>
      <c r="G470" s="13"/>
      <c r="H470" s="9" t="str">
        <f aca="false">IF(D470="","",IFERROR(INDEX(Materiali!$C:$C,MATCH(D470,Materiali!$A:$A,0)),0))</f>
        <v/>
      </c>
      <c r="I470" s="9" t="str">
        <f aca="false">IF(OR(G470="",H470=""),"",IF(F470="Uscita",-1,1)*G470*H470)</f>
        <v/>
      </c>
      <c r="J470" s="13"/>
      <c r="K470" s="13"/>
    </row>
    <row r="471" customFormat="false" ht="15" hidden="false" customHeight="false" outlineLevel="0" collapsed="false">
      <c r="A471" s="12"/>
      <c r="B471" s="13"/>
      <c r="C471" s="13"/>
      <c r="D471" s="13"/>
      <c r="E471" s="7" t="str">
        <f aca="false">IF(D471="","",IFERROR(INDEX(Materiali!$B:$B,MATCH(D471,Materiali!$A:$A,0)),"codice?"))</f>
        <v/>
      </c>
      <c r="F471" s="13"/>
      <c r="G471" s="13"/>
      <c r="H471" s="9" t="str">
        <f aca="false">IF(D471="","",IFERROR(INDEX(Materiali!$C:$C,MATCH(D471,Materiali!$A:$A,0)),0))</f>
        <v/>
      </c>
      <c r="I471" s="9" t="str">
        <f aca="false">IF(OR(G471="",H471=""),"",IF(F471="Uscita",-1,1)*G471*H471)</f>
        <v/>
      </c>
      <c r="J471" s="13"/>
      <c r="K471" s="13"/>
    </row>
    <row r="472" customFormat="false" ht="15" hidden="false" customHeight="false" outlineLevel="0" collapsed="false">
      <c r="A472" s="12"/>
      <c r="B472" s="13"/>
      <c r="C472" s="13"/>
      <c r="D472" s="13"/>
      <c r="E472" s="7" t="str">
        <f aca="false">IF(D472="","",IFERROR(INDEX(Materiali!$B:$B,MATCH(D472,Materiali!$A:$A,0)),"codice?"))</f>
        <v/>
      </c>
      <c r="F472" s="13"/>
      <c r="G472" s="13"/>
      <c r="H472" s="9" t="str">
        <f aca="false">IF(D472="","",IFERROR(INDEX(Materiali!$C:$C,MATCH(D472,Materiali!$A:$A,0)),0))</f>
        <v/>
      </c>
      <c r="I472" s="9" t="str">
        <f aca="false">IF(OR(G472="",H472=""),"",IF(F472="Uscita",-1,1)*G472*H472)</f>
        <v/>
      </c>
      <c r="J472" s="13"/>
      <c r="K472" s="13"/>
    </row>
    <row r="473" customFormat="false" ht="15" hidden="false" customHeight="false" outlineLevel="0" collapsed="false">
      <c r="A473" s="12"/>
      <c r="B473" s="13"/>
      <c r="C473" s="13"/>
      <c r="D473" s="13"/>
      <c r="E473" s="7" t="str">
        <f aca="false">IF(D473="","",IFERROR(INDEX(Materiali!$B:$B,MATCH(D473,Materiali!$A:$A,0)),"codice?"))</f>
        <v/>
      </c>
      <c r="F473" s="13"/>
      <c r="G473" s="13"/>
      <c r="H473" s="9" t="str">
        <f aca="false">IF(D473="","",IFERROR(INDEX(Materiali!$C:$C,MATCH(D473,Materiali!$A:$A,0)),0))</f>
        <v/>
      </c>
      <c r="I473" s="9" t="str">
        <f aca="false">IF(OR(G473="",H473=""),"",IF(F473="Uscita",-1,1)*G473*H473)</f>
        <v/>
      </c>
      <c r="J473" s="13"/>
      <c r="K473" s="13"/>
    </row>
    <row r="474" customFormat="false" ht="15" hidden="false" customHeight="false" outlineLevel="0" collapsed="false">
      <c r="A474" s="12"/>
      <c r="B474" s="13"/>
      <c r="C474" s="13"/>
      <c r="D474" s="13"/>
      <c r="E474" s="7" t="str">
        <f aca="false">IF(D474="","",IFERROR(INDEX(Materiali!$B:$B,MATCH(D474,Materiali!$A:$A,0)),"codice?"))</f>
        <v/>
      </c>
      <c r="F474" s="13"/>
      <c r="G474" s="13"/>
      <c r="H474" s="9" t="str">
        <f aca="false">IF(D474="","",IFERROR(INDEX(Materiali!$C:$C,MATCH(D474,Materiali!$A:$A,0)),0))</f>
        <v/>
      </c>
      <c r="I474" s="9" t="str">
        <f aca="false">IF(OR(G474="",H474=""),"",IF(F474="Uscita",-1,1)*G474*H474)</f>
        <v/>
      </c>
      <c r="J474" s="13"/>
      <c r="K474" s="13"/>
    </row>
    <row r="475" customFormat="false" ht="15" hidden="false" customHeight="false" outlineLevel="0" collapsed="false">
      <c r="A475" s="12"/>
      <c r="B475" s="13"/>
      <c r="C475" s="13"/>
      <c r="D475" s="13"/>
      <c r="E475" s="7" t="str">
        <f aca="false">IF(D475="","",IFERROR(INDEX(Materiali!$B:$B,MATCH(D475,Materiali!$A:$A,0)),"codice?"))</f>
        <v/>
      </c>
      <c r="F475" s="13"/>
      <c r="G475" s="13"/>
      <c r="H475" s="9" t="str">
        <f aca="false">IF(D475="","",IFERROR(INDEX(Materiali!$C:$C,MATCH(D475,Materiali!$A:$A,0)),0))</f>
        <v/>
      </c>
      <c r="I475" s="9" t="str">
        <f aca="false">IF(OR(G475="",H475=""),"",IF(F475="Uscita",-1,1)*G475*H475)</f>
        <v/>
      </c>
      <c r="J475" s="13"/>
      <c r="K475" s="13"/>
    </row>
    <row r="476" customFormat="false" ht="15" hidden="false" customHeight="false" outlineLevel="0" collapsed="false">
      <c r="A476" s="12"/>
      <c r="B476" s="13"/>
      <c r="C476" s="13"/>
      <c r="D476" s="13"/>
      <c r="E476" s="7" t="str">
        <f aca="false">IF(D476="","",IFERROR(INDEX(Materiali!$B:$B,MATCH(D476,Materiali!$A:$A,0)),"codice?"))</f>
        <v/>
      </c>
      <c r="F476" s="13"/>
      <c r="G476" s="13"/>
      <c r="H476" s="9" t="str">
        <f aca="false">IF(D476="","",IFERROR(INDEX(Materiali!$C:$C,MATCH(D476,Materiali!$A:$A,0)),0))</f>
        <v/>
      </c>
      <c r="I476" s="9" t="str">
        <f aca="false">IF(OR(G476="",H476=""),"",IF(F476="Uscita",-1,1)*G476*H476)</f>
        <v/>
      </c>
      <c r="J476" s="13"/>
      <c r="K476" s="13"/>
    </row>
    <row r="477" customFormat="false" ht="15" hidden="false" customHeight="false" outlineLevel="0" collapsed="false">
      <c r="A477" s="12"/>
      <c r="B477" s="13"/>
      <c r="C477" s="13"/>
      <c r="D477" s="13"/>
      <c r="E477" s="7" t="str">
        <f aca="false">IF(D477="","",IFERROR(INDEX(Materiali!$B:$B,MATCH(D477,Materiali!$A:$A,0)),"codice?"))</f>
        <v/>
      </c>
      <c r="F477" s="13"/>
      <c r="G477" s="13"/>
      <c r="H477" s="9" t="str">
        <f aca="false">IF(D477="","",IFERROR(INDEX(Materiali!$C:$C,MATCH(D477,Materiali!$A:$A,0)),0))</f>
        <v/>
      </c>
      <c r="I477" s="9" t="str">
        <f aca="false">IF(OR(G477="",H477=""),"",IF(F477="Uscita",-1,1)*G477*H477)</f>
        <v/>
      </c>
      <c r="J477" s="13"/>
      <c r="K477" s="13"/>
    </row>
    <row r="478" customFormat="false" ht="15" hidden="false" customHeight="false" outlineLevel="0" collapsed="false">
      <c r="A478" s="12"/>
      <c r="B478" s="13"/>
      <c r="C478" s="13"/>
      <c r="D478" s="13"/>
      <c r="E478" s="7" t="str">
        <f aca="false">IF(D478="","",IFERROR(INDEX(Materiali!$B:$B,MATCH(D478,Materiali!$A:$A,0)),"codice?"))</f>
        <v/>
      </c>
      <c r="F478" s="13"/>
      <c r="G478" s="13"/>
      <c r="H478" s="9" t="str">
        <f aca="false">IF(D478="","",IFERROR(INDEX(Materiali!$C:$C,MATCH(D478,Materiali!$A:$A,0)),0))</f>
        <v/>
      </c>
      <c r="I478" s="9" t="str">
        <f aca="false">IF(OR(G478="",H478=""),"",IF(F478="Uscita",-1,1)*G478*H478)</f>
        <v/>
      </c>
      <c r="J478" s="13"/>
      <c r="K478" s="13"/>
    </row>
    <row r="479" customFormat="false" ht="15" hidden="false" customHeight="false" outlineLevel="0" collapsed="false">
      <c r="A479" s="12"/>
      <c r="B479" s="13"/>
      <c r="C479" s="13"/>
      <c r="D479" s="13"/>
      <c r="E479" s="7" t="str">
        <f aca="false">IF(D479="","",IFERROR(INDEX(Materiali!$B:$B,MATCH(D479,Materiali!$A:$A,0)),"codice?"))</f>
        <v/>
      </c>
      <c r="F479" s="13"/>
      <c r="G479" s="13"/>
      <c r="H479" s="9" t="str">
        <f aca="false">IF(D479="","",IFERROR(INDEX(Materiali!$C:$C,MATCH(D479,Materiali!$A:$A,0)),0))</f>
        <v/>
      </c>
      <c r="I479" s="9" t="str">
        <f aca="false">IF(OR(G479="",H479=""),"",IF(F479="Uscita",-1,1)*G479*H479)</f>
        <v/>
      </c>
      <c r="J479" s="13"/>
      <c r="K479" s="13"/>
    </row>
    <row r="480" customFormat="false" ht="15" hidden="false" customHeight="false" outlineLevel="0" collapsed="false">
      <c r="A480" s="12"/>
      <c r="B480" s="13"/>
      <c r="C480" s="13"/>
      <c r="D480" s="13"/>
      <c r="E480" s="7" t="str">
        <f aca="false">IF(D480="","",IFERROR(INDEX(Materiali!$B:$B,MATCH(D480,Materiali!$A:$A,0)),"codice?"))</f>
        <v/>
      </c>
      <c r="F480" s="13"/>
      <c r="G480" s="13"/>
      <c r="H480" s="9" t="str">
        <f aca="false">IF(D480="","",IFERROR(INDEX(Materiali!$C:$C,MATCH(D480,Materiali!$A:$A,0)),0))</f>
        <v/>
      </c>
      <c r="I480" s="9" t="str">
        <f aca="false">IF(OR(G480="",H480=""),"",IF(F480="Uscita",-1,1)*G480*H480)</f>
        <v/>
      </c>
      <c r="J480" s="13"/>
      <c r="K480" s="13"/>
    </row>
    <row r="481" customFormat="false" ht="15" hidden="false" customHeight="false" outlineLevel="0" collapsed="false">
      <c r="A481" s="12"/>
      <c r="B481" s="13"/>
      <c r="C481" s="13"/>
      <c r="D481" s="13"/>
      <c r="E481" s="7" t="str">
        <f aca="false">IF(D481="","",IFERROR(INDEX(Materiali!$B:$B,MATCH(D481,Materiali!$A:$A,0)),"codice?"))</f>
        <v/>
      </c>
      <c r="F481" s="13"/>
      <c r="G481" s="13"/>
      <c r="H481" s="9" t="str">
        <f aca="false">IF(D481="","",IFERROR(INDEX(Materiali!$C:$C,MATCH(D481,Materiali!$A:$A,0)),0))</f>
        <v/>
      </c>
      <c r="I481" s="9" t="str">
        <f aca="false">IF(OR(G481="",H481=""),"",IF(F481="Uscita",-1,1)*G481*H481)</f>
        <v/>
      </c>
      <c r="J481" s="13"/>
      <c r="K481" s="13"/>
    </row>
    <row r="482" customFormat="false" ht="15" hidden="false" customHeight="false" outlineLevel="0" collapsed="false">
      <c r="A482" s="12"/>
      <c r="B482" s="13"/>
      <c r="C482" s="13"/>
      <c r="D482" s="13"/>
      <c r="E482" s="7" t="str">
        <f aca="false">IF(D482="","",IFERROR(INDEX(Materiali!$B:$B,MATCH(D482,Materiali!$A:$A,0)),"codice?"))</f>
        <v/>
      </c>
      <c r="F482" s="13"/>
      <c r="G482" s="13"/>
      <c r="H482" s="9" t="str">
        <f aca="false">IF(D482="","",IFERROR(INDEX(Materiali!$C:$C,MATCH(D482,Materiali!$A:$A,0)),0))</f>
        <v/>
      </c>
      <c r="I482" s="9" t="str">
        <f aca="false">IF(OR(G482="",H482=""),"",IF(F482="Uscita",-1,1)*G482*H482)</f>
        <v/>
      </c>
      <c r="J482" s="13"/>
      <c r="K482" s="13"/>
    </row>
    <row r="483" customFormat="false" ht="15" hidden="false" customHeight="false" outlineLevel="0" collapsed="false">
      <c r="A483" s="12"/>
      <c r="B483" s="13"/>
      <c r="C483" s="13"/>
      <c r="D483" s="13"/>
      <c r="E483" s="7" t="str">
        <f aca="false">IF(D483="","",IFERROR(INDEX(Materiali!$B:$B,MATCH(D483,Materiali!$A:$A,0)),"codice?"))</f>
        <v/>
      </c>
      <c r="F483" s="13"/>
      <c r="G483" s="13"/>
      <c r="H483" s="9" t="str">
        <f aca="false">IF(D483="","",IFERROR(INDEX(Materiali!$C:$C,MATCH(D483,Materiali!$A:$A,0)),0))</f>
        <v/>
      </c>
      <c r="I483" s="9" t="str">
        <f aca="false">IF(OR(G483="",H483=""),"",IF(F483="Uscita",-1,1)*G483*H483)</f>
        <v/>
      </c>
      <c r="J483" s="13"/>
      <c r="K483" s="13"/>
    </row>
    <row r="484" customFormat="false" ht="15" hidden="false" customHeight="false" outlineLevel="0" collapsed="false">
      <c r="A484" s="12"/>
      <c r="B484" s="13"/>
      <c r="C484" s="13"/>
      <c r="D484" s="13"/>
      <c r="E484" s="7" t="str">
        <f aca="false">IF(D484="","",IFERROR(INDEX(Materiali!$B:$B,MATCH(D484,Materiali!$A:$A,0)),"codice?"))</f>
        <v/>
      </c>
      <c r="F484" s="13"/>
      <c r="G484" s="13"/>
      <c r="H484" s="9" t="str">
        <f aca="false">IF(D484="","",IFERROR(INDEX(Materiali!$C:$C,MATCH(D484,Materiali!$A:$A,0)),0))</f>
        <v/>
      </c>
      <c r="I484" s="9" t="str">
        <f aca="false">IF(OR(G484="",H484=""),"",IF(F484="Uscita",-1,1)*G484*H484)</f>
        <v/>
      </c>
      <c r="J484" s="13"/>
      <c r="K484" s="13"/>
    </row>
    <row r="485" customFormat="false" ht="15" hidden="false" customHeight="false" outlineLevel="0" collapsed="false">
      <c r="A485" s="12"/>
      <c r="B485" s="13"/>
      <c r="C485" s="13"/>
      <c r="D485" s="13"/>
      <c r="E485" s="7" t="str">
        <f aca="false">IF(D485="","",IFERROR(INDEX(Materiali!$B:$B,MATCH(D485,Materiali!$A:$A,0)),"codice?"))</f>
        <v/>
      </c>
      <c r="F485" s="13"/>
      <c r="G485" s="13"/>
      <c r="H485" s="9" t="str">
        <f aca="false">IF(D485="","",IFERROR(INDEX(Materiali!$C:$C,MATCH(D485,Materiali!$A:$A,0)),0))</f>
        <v/>
      </c>
      <c r="I485" s="9" t="str">
        <f aca="false">IF(OR(G485="",H485=""),"",IF(F485="Uscita",-1,1)*G485*H485)</f>
        <v/>
      </c>
      <c r="J485" s="13"/>
      <c r="K485" s="13"/>
    </row>
    <row r="486" customFormat="false" ht="15" hidden="false" customHeight="false" outlineLevel="0" collapsed="false">
      <c r="A486" s="12"/>
      <c r="B486" s="13"/>
      <c r="C486" s="13"/>
      <c r="D486" s="13"/>
      <c r="E486" s="7" t="str">
        <f aca="false">IF(D486="","",IFERROR(INDEX(Materiali!$B:$B,MATCH(D486,Materiali!$A:$A,0)),"codice?"))</f>
        <v/>
      </c>
      <c r="F486" s="13"/>
      <c r="G486" s="13"/>
      <c r="H486" s="9" t="str">
        <f aca="false">IF(D486="","",IFERROR(INDEX(Materiali!$C:$C,MATCH(D486,Materiali!$A:$A,0)),0))</f>
        <v/>
      </c>
      <c r="I486" s="9" t="str">
        <f aca="false">IF(OR(G486="",H486=""),"",IF(F486="Uscita",-1,1)*G486*H486)</f>
        <v/>
      </c>
      <c r="J486" s="13"/>
      <c r="K486" s="13"/>
    </row>
    <row r="487" customFormat="false" ht="15" hidden="false" customHeight="false" outlineLevel="0" collapsed="false">
      <c r="A487" s="12"/>
      <c r="B487" s="13"/>
      <c r="C487" s="13"/>
      <c r="D487" s="13"/>
      <c r="E487" s="7" t="str">
        <f aca="false">IF(D487="","",IFERROR(INDEX(Materiali!$B:$B,MATCH(D487,Materiali!$A:$A,0)),"codice?"))</f>
        <v/>
      </c>
      <c r="F487" s="13"/>
      <c r="G487" s="13"/>
      <c r="H487" s="9" t="str">
        <f aca="false">IF(D487="","",IFERROR(INDEX(Materiali!$C:$C,MATCH(D487,Materiali!$A:$A,0)),0))</f>
        <v/>
      </c>
      <c r="I487" s="9" t="str">
        <f aca="false">IF(OR(G487="",H487=""),"",IF(F487="Uscita",-1,1)*G487*H487)</f>
        <v/>
      </c>
      <c r="J487" s="13"/>
      <c r="K487" s="13"/>
    </row>
    <row r="488" customFormat="false" ht="15" hidden="false" customHeight="false" outlineLevel="0" collapsed="false">
      <c r="A488" s="12"/>
      <c r="B488" s="13"/>
      <c r="C488" s="13"/>
      <c r="D488" s="13"/>
      <c r="E488" s="7" t="str">
        <f aca="false">IF(D488="","",IFERROR(INDEX(Materiali!$B:$B,MATCH(D488,Materiali!$A:$A,0)),"codice?"))</f>
        <v/>
      </c>
      <c r="F488" s="13"/>
      <c r="G488" s="13"/>
      <c r="H488" s="9" t="str">
        <f aca="false">IF(D488="","",IFERROR(INDEX(Materiali!$C:$C,MATCH(D488,Materiali!$A:$A,0)),0))</f>
        <v/>
      </c>
      <c r="I488" s="9" t="str">
        <f aca="false">IF(OR(G488="",H488=""),"",IF(F488="Uscita",-1,1)*G488*H488)</f>
        <v/>
      </c>
      <c r="J488" s="13"/>
      <c r="K488" s="13"/>
    </row>
    <row r="489" customFormat="false" ht="15" hidden="false" customHeight="false" outlineLevel="0" collapsed="false">
      <c r="A489" s="12"/>
      <c r="B489" s="13"/>
      <c r="C489" s="13"/>
      <c r="D489" s="13"/>
      <c r="E489" s="7" t="str">
        <f aca="false">IF(D489="","",IFERROR(INDEX(Materiali!$B:$B,MATCH(D489,Materiali!$A:$A,0)),"codice?"))</f>
        <v/>
      </c>
      <c r="F489" s="13"/>
      <c r="G489" s="13"/>
      <c r="H489" s="9" t="str">
        <f aca="false">IF(D489="","",IFERROR(INDEX(Materiali!$C:$C,MATCH(D489,Materiali!$A:$A,0)),0))</f>
        <v/>
      </c>
      <c r="I489" s="9" t="str">
        <f aca="false">IF(OR(G489="",H489=""),"",IF(F489="Uscita",-1,1)*G489*H489)</f>
        <v/>
      </c>
      <c r="J489" s="13"/>
      <c r="K489" s="13"/>
    </row>
    <row r="490" customFormat="false" ht="15" hidden="false" customHeight="false" outlineLevel="0" collapsed="false">
      <c r="A490" s="12"/>
      <c r="B490" s="13"/>
      <c r="C490" s="13"/>
      <c r="D490" s="13"/>
      <c r="E490" s="7" t="str">
        <f aca="false">IF(D490="","",IFERROR(INDEX(Materiali!$B:$B,MATCH(D490,Materiali!$A:$A,0)),"codice?"))</f>
        <v/>
      </c>
      <c r="F490" s="13"/>
      <c r="G490" s="13"/>
      <c r="H490" s="9" t="str">
        <f aca="false">IF(D490="","",IFERROR(INDEX(Materiali!$C:$C,MATCH(D490,Materiali!$A:$A,0)),0))</f>
        <v/>
      </c>
      <c r="I490" s="9" t="str">
        <f aca="false">IF(OR(G490="",H490=""),"",IF(F490="Uscita",-1,1)*G490*H490)</f>
        <v/>
      </c>
      <c r="J490" s="13"/>
      <c r="K490" s="13"/>
    </row>
    <row r="491" customFormat="false" ht="15" hidden="false" customHeight="false" outlineLevel="0" collapsed="false">
      <c r="A491" s="12"/>
      <c r="B491" s="13"/>
      <c r="C491" s="13"/>
      <c r="D491" s="13"/>
      <c r="E491" s="7" t="str">
        <f aca="false">IF(D491="","",IFERROR(INDEX(Materiali!$B:$B,MATCH(D491,Materiali!$A:$A,0)),"codice?"))</f>
        <v/>
      </c>
      <c r="F491" s="13"/>
      <c r="G491" s="13"/>
      <c r="H491" s="9" t="str">
        <f aca="false">IF(D491="","",IFERROR(INDEX(Materiali!$C:$C,MATCH(D491,Materiali!$A:$A,0)),0))</f>
        <v/>
      </c>
      <c r="I491" s="9" t="str">
        <f aca="false">IF(OR(G491="",H491=""),"",IF(F491="Uscita",-1,1)*G491*H491)</f>
        <v/>
      </c>
      <c r="J491" s="13"/>
      <c r="K491" s="13"/>
    </row>
    <row r="492" customFormat="false" ht="15" hidden="false" customHeight="false" outlineLevel="0" collapsed="false">
      <c r="A492" s="12"/>
      <c r="B492" s="13"/>
      <c r="C492" s="13"/>
      <c r="D492" s="13"/>
      <c r="E492" s="7" t="str">
        <f aca="false">IF(D492="","",IFERROR(INDEX(Materiali!$B:$B,MATCH(D492,Materiali!$A:$A,0)),"codice?"))</f>
        <v/>
      </c>
      <c r="F492" s="13"/>
      <c r="G492" s="13"/>
      <c r="H492" s="9" t="str">
        <f aca="false">IF(D492="","",IFERROR(INDEX(Materiali!$C:$C,MATCH(D492,Materiali!$A:$A,0)),0))</f>
        <v/>
      </c>
      <c r="I492" s="9" t="str">
        <f aca="false">IF(OR(G492="",H492=""),"",IF(F492="Uscita",-1,1)*G492*H492)</f>
        <v/>
      </c>
      <c r="J492" s="13"/>
      <c r="K492" s="13"/>
    </row>
    <row r="493" customFormat="false" ht="15" hidden="false" customHeight="false" outlineLevel="0" collapsed="false">
      <c r="A493" s="12"/>
      <c r="B493" s="13"/>
      <c r="C493" s="13"/>
      <c r="D493" s="13"/>
      <c r="E493" s="7" t="str">
        <f aca="false">IF(D493="","",IFERROR(INDEX(Materiali!$B:$B,MATCH(D493,Materiali!$A:$A,0)),"codice?"))</f>
        <v/>
      </c>
      <c r="F493" s="13"/>
      <c r="G493" s="13"/>
      <c r="H493" s="9" t="str">
        <f aca="false">IF(D493="","",IFERROR(INDEX(Materiali!$C:$C,MATCH(D493,Materiali!$A:$A,0)),0))</f>
        <v/>
      </c>
      <c r="I493" s="9" t="str">
        <f aca="false">IF(OR(G493="",H493=""),"",IF(F493="Uscita",-1,1)*G493*H493)</f>
        <v/>
      </c>
      <c r="J493" s="13"/>
      <c r="K493" s="13"/>
    </row>
    <row r="494" customFormat="false" ht="15" hidden="false" customHeight="false" outlineLevel="0" collapsed="false">
      <c r="A494" s="12"/>
      <c r="B494" s="13"/>
      <c r="C494" s="13"/>
      <c r="D494" s="13"/>
      <c r="E494" s="7" t="str">
        <f aca="false">IF(D494="","",IFERROR(INDEX(Materiali!$B:$B,MATCH(D494,Materiali!$A:$A,0)),"codice?"))</f>
        <v/>
      </c>
      <c r="F494" s="13"/>
      <c r="G494" s="13"/>
      <c r="H494" s="9" t="str">
        <f aca="false">IF(D494="","",IFERROR(INDEX(Materiali!$C:$C,MATCH(D494,Materiali!$A:$A,0)),0))</f>
        <v/>
      </c>
      <c r="I494" s="9" t="str">
        <f aca="false">IF(OR(G494="",H494=""),"",IF(F494="Uscita",-1,1)*G494*H494)</f>
        <v/>
      </c>
      <c r="J494" s="13"/>
      <c r="K494" s="13"/>
    </row>
    <row r="495" customFormat="false" ht="15" hidden="false" customHeight="false" outlineLevel="0" collapsed="false">
      <c r="A495" s="12"/>
      <c r="B495" s="13"/>
      <c r="C495" s="13"/>
      <c r="D495" s="13"/>
      <c r="E495" s="7" t="str">
        <f aca="false">IF(D495="","",IFERROR(INDEX(Materiali!$B:$B,MATCH(D495,Materiali!$A:$A,0)),"codice?"))</f>
        <v/>
      </c>
      <c r="F495" s="13"/>
      <c r="G495" s="13"/>
      <c r="H495" s="9" t="str">
        <f aca="false">IF(D495="","",IFERROR(INDEX(Materiali!$C:$C,MATCH(D495,Materiali!$A:$A,0)),0))</f>
        <v/>
      </c>
      <c r="I495" s="9" t="str">
        <f aca="false">IF(OR(G495="",H495=""),"",IF(F495="Uscita",-1,1)*G495*H495)</f>
        <v/>
      </c>
      <c r="J495" s="13"/>
      <c r="K495" s="13"/>
    </row>
    <row r="496" customFormat="false" ht="15" hidden="false" customHeight="false" outlineLevel="0" collapsed="false">
      <c r="A496" s="12"/>
      <c r="B496" s="13"/>
      <c r="C496" s="13"/>
      <c r="D496" s="13"/>
      <c r="E496" s="7" t="str">
        <f aca="false">IF(D496="","",IFERROR(INDEX(Materiali!$B:$B,MATCH(D496,Materiali!$A:$A,0)),"codice?"))</f>
        <v/>
      </c>
      <c r="F496" s="13"/>
      <c r="G496" s="13"/>
      <c r="H496" s="9" t="str">
        <f aca="false">IF(D496="","",IFERROR(INDEX(Materiali!$C:$C,MATCH(D496,Materiali!$A:$A,0)),0))</f>
        <v/>
      </c>
      <c r="I496" s="9" t="str">
        <f aca="false">IF(OR(G496="",H496=""),"",IF(F496="Uscita",-1,1)*G496*H496)</f>
        <v/>
      </c>
      <c r="J496" s="13"/>
      <c r="K496" s="13"/>
    </row>
    <row r="497" customFormat="false" ht="15" hidden="false" customHeight="false" outlineLevel="0" collapsed="false">
      <c r="A497" s="12"/>
      <c r="B497" s="13"/>
      <c r="C497" s="13"/>
      <c r="D497" s="13"/>
      <c r="E497" s="7" t="str">
        <f aca="false">IF(D497="","",IFERROR(INDEX(Materiali!$B:$B,MATCH(D497,Materiali!$A:$A,0)),"codice?"))</f>
        <v/>
      </c>
      <c r="F497" s="13"/>
      <c r="G497" s="13"/>
      <c r="H497" s="9" t="str">
        <f aca="false">IF(D497="","",IFERROR(INDEX(Materiali!$C:$C,MATCH(D497,Materiali!$A:$A,0)),0))</f>
        <v/>
      </c>
      <c r="I497" s="9" t="str">
        <f aca="false">IF(OR(G497="",H497=""),"",IF(F497="Uscita",-1,1)*G497*H497)</f>
        <v/>
      </c>
      <c r="J497" s="13"/>
      <c r="K497" s="13"/>
    </row>
    <row r="498" customFormat="false" ht="15" hidden="false" customHeight="false" outlineLevel="0" collapsed="false">
      <c r="A498" s="12"/>
      <c r="B498" s="13"/>
      <c r="C498" s="13"/>
      <c r="D498" s="13"/>
      <c r="E498" s="7" t="str">
        <f aca="false">IF(D498="","",IFERROR(INDEX(Materiali!$B:$B,MATCH(D498,Materiali!$A:$A,0)),"codice?"))</f>
        <v/>
      </c>
      <c r="F498" s="13"/>
      <c r="G498" s="13"/>
      <c r="H498" s="9" t="str">
        <f aca="false">IF(D498="","",IFERROR(INDEX(Materiali!$C:$C,MATCH(D498,Materiali!$A:$A,0)),0))</f>
        <v/>
      </c>
      <c r="I498" s="9" t="str">
        <f aca="false">IF(OR(G498="",H498=""),"",IF(F498="Uscita",-1,1)*G498*H498)</f>
        <v/>
      </c>
      <c r="J498" s="13"/>
      <c r="K498" s="13"/>
    </row>
    <row r="499" customFormat="false" ht="15" hidden="false" customHeight="false" outlineLevel="0" collapsed="false">
      <c r="A499" s="12"/>
      <c r="B499" s="13"/>
      <c r="C499" s="13"/>
      <c r="D499" s="13"/>
      <c r="E499" s="7" t="str">
        <f aca="false">IF(D499="","",IFERROR(INDEX(Materiali!$B:$B,MATCH(D499,Materiali!$A:$A,0)),"codice?"))</f>
        <v/>
      </c>
      <c r="F499" s="13"/>
      <c r="G499" s="13"/>
      <c r="H499" s="9" t="str">
        <f aca="false">IF(D499="","",IFERROR(INDEX(Materiali!$C:$C,MATCH(D499,Materiali!$A:$A,0)),0))</f>
        <v/>
      </c>
      <c r="I499" s="9" t="str">
        <f aca="false">IF(OR(G499="",H499=""),"",IF(F499="Uscita",-1,1)*G499*H499)</f>
        <v/>
      </c>
      <c r="J499" s="13"/>
      <c r="K499" s="13"/>
    </row>
    <row r="500" customFormat="false" ht="15" hidden="false" customHeight="false" outlineLevel="0" collapsed="false">
      <c r="A500" s="12"/>
      <c r="B500" s="13"/>
      <c r="C500" s="13"/>
      <c r="D500" s="13"/>
      <c r="E500" s="7" t="str">
        <f aca="false">IF(D500="","",IFERROR(INDEX(Materiali!$B:$B,MATCH(D500,Materiali!$A:$A,0)),"codice?"))</f>
        <v/>
      </c>
      <c r="F500" s="13"/>
      <c r="G500" s="13"/>
      <c r="H500" s="9" t="str">
        <f aca="false">IF(D500="","",IFERROR(INDEX(Materiali!$C:$C,MATCH(D500,Materiali!$A:$A,0)),0))</f>
        <v/>
      </c>
      <c r="I500" s="9" t="str">
        <f aca="false">IF(OR(G500="",H500=""),"",IF(F500="Uscita",-1,1)*G500*H500)</f>
        <v/>
      </c>
      <c r="J500" s="13"/>
      <c r="K500" s="13"/>
    </row>
    <row r="501" customFormat="false" ht="15" hidden="false" customHeight="false" outlineLevel="0" collapsed="false">
      <c r="A501" s="12"/>
      <c r="B501" s="13"/>
      <c r="C501" s="13"/>
      <c r="D501" s="13"/>
      <c r="E501" s="7" t="str">
        <f aca="false">IF(D501="","",IFERROR(INDEX(Materiali!$B:$B,MATCH(D501,Materiali!$A:$A,0)),"codice?"))</f>
        <v/>
      </c>
      <c r="F501" s="13"/>
      <c r="G501" s="13"/>
      <c r="H501" s="9" t="str">
        <f aca="false">IF(D501="","",IFERROR(INDEX(Materiali!$C:$C,MATCH(D501,Materiali!$A:$A,0)),0))</f>
        <v/>
      </c>
      <c r="I501" s="9" t="str">
        <f aca="false">IF(OR(G501="",H501=""),"",IF(F501="Uscita",-1,1)*G501*H501)</f>
        <v/>
      </c>
      <c r="J501" s="13"/>
      <c r="K501" s="13"/>
    </row>
    <row r="502" customFormat="false" ht="15" hidden="false" customHeight="false" outlineLevel="0" collapsed="false">
      <c r="A502" s="12"/>
      <c r="B502" s="13"/>
      <c r="C502" s="13"/>
      <c r="D502" s="13"/>
      <c r="E502" s="7" t="str">
        <f aca="false">IF(D502="","",IFERROR(INDEX(Materiali!$B:$B,MATCH(D502,Materiali!$A:$A,0)),"codice?"))</f>
        <v/>
      </c>
      <c r="F502" s="13"/>
      <c r="G502" s="13"/>
      <c r="H502" s="9" t="str">
        <f aca="false">IF(D502="","",IFERROR(INDEX(Materiali!$C:$C,MATCH(D502,Materiali!$A:$A,0)),0))</f>
        <v/>
      </c>
      <c r="I502" s="9" t="str">
        <f aca="false">IF(OR(G502="",H502=""),"",IF(F502="Uscita",-1,1)*G502*H502)</f>
        <v/>
      </c>
      <c r="J502" s="13"/>
      <c r="K502" s="13"/>
    </row>
    <row r="503" customFormat="false" ht="15" hidden="false" customHeight="false" outlineLevel="0" collapsed="false">
      <c r="A503" s="12"/>
      <c r="B503" s="13"/>
      <c r="C503" s="13"/>
      <c r="D503" s="13"/>
      <c r="E503" s="7" t="str">
        <f aca="false">IF(D503="","",IFERROR(INDEX(Materiali!$B:$B,MATCH(D503,Materiali!$A:$A,0)),"codice?"))</f>
        <v/>
      </c>
      <c r="F503" s="13"/>
      <c r="G503" s="13"/>
      <c r="H503" s="9" t="str">
        <f aca="false">IF(D503="","",IFERROR(INDEX(Materiali!$C:$C,MATCH(D503,Materiali!$A:$A,0)),0))</f>
        <v/>
      </c>
      <c r="I503" s="9" t="str">
        <f aca="false">IF(OR(G503="",H503=""),"",IF(F503="Uscita",-1,1)*G503*H503)</f>
        <v/>
      </c>
      <c r="J503" s="13"/>
      <c r="K503" s="13"/>
    </row>
    <row r="504" customFormat="false" ht="15" hidden="false" customHeight="false" outlineLevel="0" collapsed="false">
      <c r="A504" s="12"/>
      <c r="B504" s="13"/>
      <c r="C504" s="13"/>
      <c r="D504" s="13"/>
      <c r="E504" s="7" t="str">
        <f aca="false">IF(D504="","",IFERROR(INDEX(Materiali!$B:$B,MATCH(D504,Materiali!$A:$A,0)),"codice?"))</f>
        <v/>
      </c>
      <c r="F504" s="13"/>
      <c r="G504" s="13"/>
      <c r="H504" s="9" t="str">
        <f aca="false">IF(D504="","",IFERROR(INDEX(Materiali!$C:$C,MATCH(D504,Materiali!$A:$A,0)),0))</f>
        <v/>
      </c>
      <c r="I504" s="9" t="str">
        <f aca="false">IF(OR(G504="",H504=""),"",IF(F504="Uscita",-1,1)*G504*H504)</f>
        <v/>
      </c>
      <c r="J504" s="13"/>
      <c r="K504" s="13"/>
    </row>
    <row r="505" customFormat="false" ht="15" hidden="false" customHeight="false" outlineLevel="0" collapsed="false">
      <c r="A505" s="12"/>
      <c r="B505" s="13"/>
      <c r="C505" s="13"/>
      <c r="D505" s="13"/>
      <c r="E505" s="7" t="str">
        <f aca="false">IF(D505="","",IFERROR(INDEX(Materiali!$B:$B,MATCH(D505,Materiali!$A:$A,0)),"codice?"))</f>
        <v/>
      </c>
      <c r="F505" s="13"/>
      <c r="G505" s="13"/>
      <c r="H505" s="9" t="str">
        <f aca="false">IF(D505="","",IFERROR(INDEX(Materiali!$C:$C,MATCH(D505,Materiali!$A:$A,0)),0))</f>
        <v/>
      </c>
      <c r="I505" s="9" t="str">
        <f aca="false">IF(OR(G505="",H505=""),"",IF(F505="Uscita",-1,1)*G505*H505)</f>
        <v/>
      </c>
      <c r="J505" s="13"/>
      <c r="K505" s="13"/>
    </row>
    <row r="506" customFormat="false" ht="15" hidden="false" customHeight="false" outlineLevel="0" collapsed="false">
      <c r="A506" s="12"/>
      <c r="B506" s="13"/>
      <c r="C506" s="13"/>
      <c r="D506" s="13"/>
      <c r="E506" s="7" t="str">
        <f aca="false">IF(D506="","",IFERROR(INDEX(Materiali!$B:$B,MATCH(D506,Materiali!$A:$A,0)),"codice?"))</f>
        <v/>
      </c>
      <c r="F506" s="13"/>
      <c r="G506" s="13"/>
      <c r="H506" s="9" t="str">
        <f aca="false">IF(D506="","",IFERROR(INDEX(Materiali!$C:$C,MATCH(D506,Materiali!$A:$A,0)),0))</f>
        <v/>
      </c>
      <c r="I506" s="9" t="str">
        <f aca="false">IF(OR(G506="",H506=""),"",IF(F506="Uscita",-1,1)*G506*H506)</f>
        <v/>
      </c>
      <c r="J506" s="13"/>
      <c r="K506" s="13"/>
    </row>
    <row r="507" customFormat="false" ht="15" hidden="false" customHeight="false" outlineLevel="0" collapsed="false">
      <c r="A507" s="12"/>
      <c r="B507" s="13"/>
      <c r="C507" s="13"/>
      <c r="D507" s="13"/>
      <c r="E507" s="7" t="str">
        <f aca="false">IF(D507="","",IFERROR(INDEX(Materiali!$B:$B,MATCH(D507,Materiali!$A:$A,0)),"codice?"))</f>
        <v/>
      </c>
      <c r="F507" s="13"/>
      <c r="G507" s="13"/>
      <c r="H507" s="9" t="str">
        <f aca="false">IF(D507="","",IFERROR(INDEX(Materiali!$C:$C,MATCH(D507,Materiali!$A:$A,0)),0))</f>
        <v/>
      </c>
      <c r="I507" s="9" t="str">
        <f aca="false">IF(OR(G507="",H507=""),"",IF(F507="Uscita",-1,1)*G507*H507)</f>
        <v/>
      </c>
      <c r="J507" s="13"/>
      <c r="K507" s="13"/>
    </row>
    <row r="508" customFormat="false" ht="15" hidden="false" customHeight="false" outlineLevel="0" collapsed="false">
      <c r="A508" s="12"/>
      <c r="B508" s="13"/>
      <c r="C508" s="13"/>
      <c r="D508" s="13"/>
      <c r="E508" s="7" t="str">
        <f aca="false">IF(D508="","",IFERROR(INDEX(Materiali!$B:$B,MATCH(D508,Materiali!$A:$A,0)),"codice?"))</f>
        <v/>
      </c>
      <c r="F508" s="13"/>
      <c r="G508" s="13"/>
      <c r="H508" s="9" t="str">
        <f aca="false">IF(D508="","",IFERROR(INDEX(Materiali!$C:$C,MATCH(D508,Materiali!$A:$A,0)),0))</f>
        <v/>
      </c>
      <c r="I508" s="9" t="str">
        <f aca="false">IF(OR(G508="",H508=""),"",IF(F508="Uscita",-1,1)*G508*H508)</f>
        <v/>
      </c>
      <c r="J508" s="13"/>
      <c r="K508" s="13"/>
    </row>
    <row r="509" customFormat="false" ht="15" hidden="false" customHeight="false" outlineLevel="0" collapsed="false">
      <c r="A509" s="12"/>
      <c r="B509" s="13"/>
      <c r="C509" s="13"/>
      <c r="D509" s="13"/>
      <c r="E509" s="7" t="str">
        <f aca="false">IF(D509="","",IFERROR(INDEX(Materiali!$B:$B,MATCH(D509,Materiali!$A:$A,0)),"codice?"))</f>
        <v/>
      </c>
      <c r="F509" s="13"/>
      <c r="G509" s="13"/>
      <c r="H509" s="9" t="str">
        <f aca="false">IF(D509="","",IFERROR(INDEX(Materiali!$C:$C,MATCH(D509,Materiali!$A:$A,0)),0))</f>
        <v/>
      </c>
      <c r="I509" s="9" t="str">
        <f aca="false">IF(OR(G509="",H509=""),"",IF(F509="Uscita",-1,1)*G509*H509)</f>
        <v/>
      </c>
      <c r="J509" s="13"/>
      <c r="K509" s="13"/>
    </row>
    <row r="510" customFormat="false" ht="15" hidden="false" customHeight="false" outlineLevel="0" collapsed="false">
      <c r="A510" s="12"/>
      <c r="B510" s="13"/>
      <c r="C510" s="13"/>
      <c r="D510" s="13"/>
      <c r="E510" s="7" t="str">
        <f aca="false">IF(D510="","",IFERROR(INDEX(Materiali!$B:$B,MATCH(D510,Materiali!$A:$A,0)),"codice?"))</f>
        <v/>
      </c>
      <c r="F510" s="13"/>
      <c r="G510" s="13"/>
      <c r="H510" s="9" t="str">
        <f aca="false">IF(D510="","",IFERROR(INDEX(Materiali!$C:$C,MATCH(D510,Materiali!$A:$A,0)),0))</f>
        <v/>
      </c>
      <c r="I510" s="9" t="str">
        <f aca="false">IF(OR(G510="",H510=""),"",IF(F510="Uscita",-1,1)*G510*H510)</f>
        <v/>
      </c>
      <c r="J510" s="13"/>
      <c r="K510" s="13"/>
    </row>
    <row r="511" customFormat="false" ht="15" hidden="false" customHeight="false" outlineLevel="0" collapsed="false">
      <c r="A511" s="12"/>
      <c r="B511" s="13"/>
      <c r="C511" s="13"/>
      <c r="D511" s="13"/>
      <c r="E511" s="7" t="str">
        <f aca="false">IF(D511="","",IFERROR(INDEX(Materiali!$B:$B,MATCH(D511,Materiali!$A:$A,0)),"codice?"))</f>
        <v/>
      </c>
      <c r="F511" s="13"/>
      <c r="G511" s="13"/>
      <c r="H511" s="9" t="str">
        <f aca="false">IF(D511="","",IFERROR(INDEX(Materiali!$C:$C,MATCH(D511,Materiali!$A:$A,0)),0))</f>
        <v/>
      </c>
      <c r="I511" s="9" t="str">
        <f aca="false">IF(OR(G511="",H511=""),"",IF(F511="Uscita",-1,1)*G511*H511)</f>
        <v/>
      </c>
      <c r="J511" s="13"/>
      <c r="K511" s="13"/>
    </row>
    <row r="512" customFormat="false" ht="15" hidden="false" customHeight="false" outlineLevel="0" collapsed="false">
      <c r="A512" s="12"/>
      <c r="B512" s="13"/>
      <c r="C512" s="13"/>
      <c r="D512" s="13"/>
      <c r="E512" s="7" t="str">
        <f aca="false">IF(D512="","",IFERROR(INDEX(Materiali!$B:$B,MATCH(D512,Materiali!$A:$A,0)),"codice?"))</f>
        <v/>
      </c>
      <c r="F512" s="13"/>
      <c r="G512" s="13"/>
      <c r="H512" s="9" t="str">
        <f aca="false">IF(D512="","",IFERROR(INDEX(Materiali!$C:$C,MATCH(D512,Materiali!$A:$A,0)),0))</f>
        <v/>
      </c>
      <c r="I512" s="9" t="str">
        <f aca="false">IF(OR(G512="",H512=""),"",IF(F512="Uscita",-1,1)*G512*H512)</f>
        <v/>
      </c>
      <c r="J512" s="13"/>
      <c r="K512" s="13"/>
    </row>
    <row r="513" customFormat="false" ht="15" hidden="false" customHeight="false" outlineLevel="0" collapsed="false">
      <c r="A513" s="12"/>
      <c r="B513" s="13"/>
      <c r="C513" s="13"/>
      <c r="D513" s="13"/>
      <c r="E513" s="7" t="str">
        <f aca="false">IF(D513="","",IFERROR(INDEX(Materiali!$B:$B,MATCH(D513,Materiali!$A:$A,0)),"codice?"))</f>
        <v/>
      </c>
      <c r="F513" s="13"/>
      <c r="G513" s="13"/>
      <c r="H513" s="9" t="str">
        <f aca="false">IF(D513="","",IFERROR(INDEX(Materiali!$C:$C,MATCH(D513,Materiali!$A:$A,0)),0))</f>
        <v/>
      </c>
      <c r="I513" s="9" t="str">
        <f aca="false">IF(OR(G513="",H513=""),"",IF(F513="Uscita",-1,1)*G513*H513)</f>
        <v/>
      </c>
      <c r="J513" s="13"/>
      <c r="K513" s="13"/>
    </row>
    <row r="514" customFormat="false" ht="15" hidden="false" customHeight="false" outlineLevel="0" collapsed="false">
      <c r="A514" s="12"/>
      <c r="B514" s="13"/>
      <c r="C514" s="13"/>
      <c r="D514" s="13"/>
      <c r="E514" s="7" t="str">
        <f aca="false">IF(D514="","",IFERROR(INDEX(Materiali!$B:$B,MATCH(D514,Materiali!$A:$A,0)),"codice?"))</f>
        <v/>
      </c>
      <c r="F514" s="13"/>
      <c r="G514" s="13"/>
      <c r="H514" s="9" t="str">
        <f aca="false">IF(D514="","",IFERROR(INDEX(Materiali!$C:$C,MATCH(D514,Materiali!$A:$A,0)),0))</f>
        <v/>
      </c>
      <c r="I514" s="9" t="str">
        <f aca="false">IF(OR(G514="",H514=""),"",IF(F514="Uscita",-1,1)*G514*H514)</f>
        <v/>
      </c>
      <c r="J514" s="13"/>
      <c r="K514" s="13"/>
    </row>
    <row r="515" customFormat="false" ht="15" hidden="false" customHeight="false" outlineLevel="0" collapsed="false">
      <c r="A515" s="12"/>
      <c r="B515" s="13"/>
      <c r="C515" s="13"/>
      <c r="D515" s="13"/>
      <c r="E515" s="7" t="str">
        <f aca="false">IF(D515="","",IFERROR(INDEX(Materiali!$B:$B,MATCH(D515,Materiali!$A:$A,0)),"codice?"))</f>
        <v/>
      </c>
      <c r="F515" s="13"/>
      <c r="G515" s="13"/>
      <c r="H515" s="9" t="str">
        <f aca="false">IF(D515="","",IFERROR(INDEX(Materiali!$C:$C,MATCH(D515,Materiali!$A:$A,0)),0))</f>
        <v/>
      </c>
      <c r="I515" s="9" t="str">
        <f aca="false">IF(OR(G515="",H515=""),"",IF(F515="Uscita",-1,1)*G515*H515)</f>
        <v/>
      </c>
      <c r="J515" s="13"/>
      <c r="K515" s="13"/>
    </row>
    <row r="516" customFormat="false" ht="15" hidden="false" customHeight="false" outlineLevel="0" collapsed="false">
      <c r="A516" s="12"/>
      <c r="B516" s="13"/>
      <c r="C516" s="13"/>
      <c r="D516" s="13"/>
      <c r="E516" s="7" t="str">
        <f aca="false">IF(D516="","",IFERROR(INDEX(Materiali!$B:$B,MATCH(D516,Materiali!$A:$A,0)),"codice?"))</f>
        <v/>
      </c>
      <c r="F516" s="13"/>
      <c r="G516" s="13"/>
      <c r="H516" s="9" t="str">
        <f aca="false">IF(D516="","",IFERROR(INDEX(Materiali!$C:$C,MATCH(D516,Materiali!$A:$A,0)),0))</f>
        <v/>
      </c>
      <c r="I516" s="9" t="str">
        <f aca="false">IF(OR(G516="",H516=""),"",IF(F516="Uscita",-1,1)*G516*H516)</f>
        <v/>
      </c>
      <c r="J516" s="13"/>
      <c r="K516" s="13"/>
    </row>
    <row r="517" customFormat="false" ht="15" hidden="false" customHeight="false" outlineLevel="0" collapsed="false">
      <c r="A517" s="12"/>
      <c r="B517" s="13"/>
      <c r="C517" s="13"/>
      <c r="D517" s="13"/>
      <c r="E517" s="7" t="str">
        <f aca="false">IF(D517="","",IFERROR(INDEX(Materiali!$B:$B,MATCH(D517,Materiali!$A:$A,0)),"codice?"))</f>
        <v/>
      </c>
      <c r="F517" s="13"/>
      <c r="G517" s="13"/>
      <c r="H517" s="9" t="str">
        <f aca="false">IF(D517="","",IFERROR(INDEX(Materiali!$C:$C,MATCH(D517,Materiali!$A:$A,0)),0))</f>
        <v/>
      </c>
      <c r="I517" s="9" t="str">
        <f aca="false">IF(OR(G517="",H517=""),"",IF(F517="Uscita",-1,1)*G517*H517)</f>
        <v/>
      </c>
      <c r="J517" s="13"/>
      <c r="K517" s="13"/>
    </row>
    <row r="518" customFormat="false" ht="15" hidden="false" customHeight="false" outlineLevel="0" collapsed="false">
      <c r="A518" s="12"/>
      <c r="B518" s="13"/>
      <c r="C518" s="13"/>
      <c r="D518" s="13"/>
      <c r="E518" s="7" t="str">
        <f aca="false">IF(D518="","",IFERROR(INDEX(Materiali!$B:$B,MATCH(D518,Materiali!$A:$A,0)),"codice?"))</f>
        <v/>
      </c>
      <c r="F518" s="13"/>
      <c r="G518" s="13"/>
      <c r="H518" s="9" t="str">
        <f aca="false">IF(D518="","",IFERROR(INDEX(Materiali!$C:$C,MATCH(D518,Materiali!$A:$A,0)),0))</f>
        <v/>
      </c>
      <c r="I518" s="9" t="str">
        <f aca="false">IF(OR(G518="",H518=""),"",IF(F518="Uscita",-1,1)*G518*H518)</f>
        <v/>
      </c>
      <c r="J518" s="13"/>
      <c r="K518" s="13"/>
    </row>
    <row r="519" customFormat="false" ht="15" hidden="false" customHeight="false" outlineLevel="0" collapsed="false">
      <c r="A519" s="12"/>
      <c r="B519" s="13"/>
      <c r="C519" s="13"/>
      <c r="D519" s="13"/>
      <c r="E519" s="7" t="str">
        <f aca="false">IF(D519="","",IFERROR(INDEX(Materiali!$B:$B,MATCH(D519,Materiali!$A:$A,0)),"codice?"))</f>
        <v/>
      </c>
      <c r="F519" s="13"/>
      <c r="G519" s="13"/>
      <c r="H519" s="9" t="str">
        <f aca="false">IF(D519="","",IFERROR(INDEX(Materiali!$C:$C,MATCH(D519,Materiali!$A:$A,0)),0))</f>
        <v/>
      </c>
      <c r="I519" s="9" t="str">
        <f aca="false">IF(OR(G519="",H519=""),"",IF(F519="Uscita",-1,1)*G519*H519)</f>
        <v/>
      </c>
      <c r="J519" s="13"/>
      <c r="K519" s="13"/>
    </row>
    <row r="520" customFormat="false" ht="15" hidden="false" customHeight="false" outlineLevel="0" collapsed="false">
      <c r="A520" s="12"/>
      <c r="B520" s="13"/>
      <c r="C520" s="13"/>
      <c r="D520" s="13"/>
      <c r="E520" s="7" t="str">
        <f aca="false">IF(D520="","",IFERROR(INDEX(Materiali!$B:$B,MATCH(D520,Materiali!$A:$A,0)),"codice?"))</f>
        <v/>
      </c>
      <c r="F520" s="13"/>
      <c r="G520" s="13"/>
      <c r="H520" s="9" t="str">
        <f aca="false">IF(D520="","",IFERROR(INDEX(Materiali!$C:$C,MATCH(D520,Materiali!$A:$A,0)),0))</f>
        <v/>
      </c>
      <c r="I520" s="9" t="str">
        <f aca="false">IF(OR(G520="",H520=""),"",IF(F520="Uscita",-1,1)*G520*H520)</f>
        <v/>
      </c>
      <c r="J520" s="13"/>
      <c r="K520" s="13"/>
    </row>
    <row r="521" customFormat="false" ht="15" hidden="false" customHeight="false" outlineLevel="0" collapsed="false">
      <c r="A521" s="12"/>
      <c r="B521" s="13"/>
      <c r="C521" s="13"/>
      <c r="D521" s="13"/>
      <c r="E521" s="7" t="str">
        <f aca="false">IF(D521="","",IFERROR(INDEX(Materiali!$B:$B,MATCH(D521,Materiali!$A:$A,0)),"codice?"))</f>
        <v/>
      </c>
      <c r="F521" s="13"/>
      <c r="G521" s="13"/>
      <c r="H521" s="9" t="str">
        <f aca="false">IF(D521="","",IFERROR(INDEX(Materiali!$C:$C,MATCH(D521,Materiali!$A:$A,0)),0))</f>
        <v/>
      </c>
      <c r="I521" s="9" t="str">
        <f aca="false">IF(OR(G521="",H521=""),"",IF(F521="Uscita",-1,1)*G521*H521)</f>
        <v/>
      </c>
      <c r="J521" s="13"/>
      <c r="K521" s="13"/>
    </row>
    <row r="522" customFormat="false" ht="15" hidden="false" customHeight="false" outlineLevel="0" collapsed="false">
      <c r="A522" s="12"/>
      <c r="B522" s="13"/>
      <c r="C522" s="13"/>
      <c r="D522" s="13"/>
      <c r="E522" s="7" t="str">
        <f aca="false">IF(D522="","",IFERROR(INDEX(Materiali!$B:$B,MATCH(D522,Materiali!$A:$A,0)),"codice?"))</f>
        <v/>
      </c>
      <c r="F522" s="13"/>
      <c r="G522" s="13"/>
      <c r="H522" s="9" t="str">
        <f aca="false">IF(D522="","",IFERROR(INDEX(Materiali!$C:$C,MATCH(D522,Materiali!$A:$A,0)),0))</f>
        <v/>
      </c>
      <c r="I522" s="9" t="str">
        <f aca="false">IF(OR(G522="",H522=""),"",IF(F522="Uscita",-1,1)*G522*H522)</f>
        <v/>
      </c>
      <c r="J522" s="13"/>
      <c r="K522" s="13"/>
    </row>
    <row r="523" customFormat="false" ht="15" hidden="false" customHeight="false" outlineLevel="0" collapsed="false">
      <c r="A523" s="12"/>
      <c r="B523" s="13"/>
      <c r="C523" s="13"/>
      <c r="D523" s="13"/>
      <c r="E523" s="7" t="str">
        <f aca="false">IF(D523="","",IFERROR(INDEX(Materiali!$B:$B,MATCH(D523,Materiali!$A:$A,0)),"codice?"))</f>
        <v/>
      </c>
      <c r="F523" s="13"/>
      <c r="G523" s="13"/>
      <c r="H523" s="9" t="str">
        <f aca="false">IF(D523="","",IFERROR(INDEX(Materiali!$C:$C,MATCH(D523,Materiali!$A:$A,0)),0))</f>
        <v/>
      </c>
      <c r="I523" s="9" t="str">
        <f aca="false">IF(OR(G523="",H523=""),"",IF(F523="Uscita",-1,1)*G523*H523)</f>
        <v/>
      </c>
      <c r="J523" s="13"/>
      <c r="K523" s="13"/>
    </row>
    <row r="524" customFormat="false" ht="15" hidden="false" customHeight="false" outlineLevel="0" collapsed="false">
      <c r="A524" s="12"/>
      <c r="B524" s="13"/>
      <c r="C524" s="13"/>
      <c r="D524" s="13"/>
      <c r="E524" s="7" t="str">
        <f aca="false">IF(D524="","",IFERROR(INDEX(Materiali!$B:$B,MATCH(D524,Materiali!$A:$A,0)),"codice?"))</f>
        <v/>
      </c>
      <c r="F524" s="13"/>
      <c r="G524" s="13"/>
      <c r="H524" s="9" t="str">
        <f aca="false">IF(D524="","",IFERROR(INDEX(Materiali!$C:$C,MATCH(D524,Materiali!$A:$A,0)),0))</f>
        <v/>
      </c>
      <c r="I524" s="9" t="str">
        <f aca="false">IF(OR(G524="",H524=""),"",IF(F524="Uscita",-1,1)*G524*H524)</f>
        <v/>
      </c>
      <c r="J524" s="13"/>
      <c r="K524" s="13"/>
    </row>
    <row r="525" customFormat="false" ht="15" hidden="false" customHeight="false" outlineLevel="0" collapsed="false">
      <c r="A525" s="12"/>
      <c r="B525" s="13"/>
      <c r="C525" s="13"/>
      <c r="D525" s="13"/>
      <c r="E525" s="7" t="str">
        <f aca="false">IF(D525="","",IFERROR(INDEX(Materiali!$B:$B,MATCH(D525,Materiali!$A:$A,0)),"codice?"))</f>
        <v/>
      </c>
      <c r="F525" s="13"/>
      <c r="G525" s="13"/>
      <c r="H525" s="9" t="str">
        <f aca="false">IF(D525="","",IFERROR(INDEX(Materiali!$C:$C,MATCH(D525,Materiali!$A:$A,0)),0))</f>
        <v/>
      </c>
      <c r="I525" s="9" t="str">
        <f aca="false">IF(OR(G525="",H525=""),"",IF(F525="Uscita",-1,1)*G525*H525)</f>
        <v/>
      </c>
      <c r="J525" s="13"/>
      <c r="K525" s="13"/>
    </row>
    <row r="526" customFormat="false" ht="15" hidden="false" customHeight="false" outlineLevel="0" collapsed="false">
      <c r="A526" s="12"/>
      <c r="B526" s="13"/>
      <c r="C526" s="13"/>
      <c r="D526" s="13"/>
      <c r="E526" s="7" t="str">
        <f aca="false">IF(D526="","",IFERROR(INDEX(Materiali!$B:$B,MATCH(D526,Materiali!$A:$A,0)),"codice?"))</f>
        <v/>
      </c>
      <c r="F526" s="13"/>
      <c r="G526" s="13"/>
      <c r="H526" s="9" t="str">
        <f aca="false">IF(D526="","",IFERROR(INDEX(Materiali!$C:$C,MATCH(D526,Materiali!$A:$A,0)),0))</f>
        <v/>
      </c>
      <c r="I526" s="9" t="str">
        <f aca="false">IF(OR(G526="",H526=""),"",IF(F526="Uscita",-1,1)*G526*H526)</f>
        <v/>
      </c>
      <c r="J526" s="13"/>
      <c r="K526" s="13"/>
    </row>
    <row r="527" customFormat="false" ht="15" hidden="false" customHeight="false" outlineLevel="0" collapsed="false">
      <c r="A527" s="12"/>
      <c r="B527" s="13"/>
      <c r="C527" s="13"/>
      <c r="D527" s="13"/>
      <c r="E527" s="7" t="str">
        <f aca="false">IF(D527="","",IFERROR(INDEX(Materiali!$B:$B,MATCH(D527,Materiali!$A:$A,0)),"codice?"))</f>
        <v/>
      </c>
      <c r="F527" s="13"/>
      <c r="G527" s="13"/>
      <c r="H527" s="9" t="str">
        <f aca="false">IF(D527="","",IFERROR(INDEX(Materiali!$C:$C,MATCH(D527,Materiali!$A:$A,0)),0))</f>
        <v/>
      </c>
      <c r="I527" s="9" t="str">
        <f aca="false">IF(OR(G527="",H527=""),"",IF(F527="Uscita",-1,1)*G527*H527)</f>
        <v/>
      </c>
      <c r="J527" s="13"/>
      <c r="K527" s="13"/>
    </row>
    <row r="528" customFormat="false" ht="15" hidden="false" customHeight="false" outlineLevel="0" collapsed="false">
      <c r="A528" s="12"/>
      <c r="B528" s="13"/>
      <c r="C528" s="13"/>
      <c r="D528" s="13"/>
      <c r="E528" s="7" t="str">
        <f aca="false">IF(D528="","",IFERROR(INDEX(Materiali!$B:$B,MATCH(D528,Materiali!$A:$A,0)),"codice?"))</f>
        <v/>
      </c>
      <c r="F528" s="13"/>
      <c r="G528" s="13"/>
      <c r="H528" s="9" t="str">
        <f aca="false">IF(D528="","",IFERROR(INDEX(Materiali!$C:$C,MATCH(D528,Materiali!$A:$A,0)),0))</f>
        <v/>
      </c>
      <c r="I528" s="9" t="str">
        <f aca="false">IF(OR(G528="",H528=""),"",IF(F528="Uscita",-1,1)*G528*H528)</f>
        <v/>
      </c>
      <c r="J528" s="13"/>
      <c r="K528" s="13"/>
    </row>
    <row r="529" customFormat="false" ht="15" hidden="false" customHeight="false" outlineLevel="0" collapsed="false">
      <c r="A529" s="12"/>
      <c r="B529" s="13"/>
      <c r="C529" s="13"/>
      <c r="D529" s="13"/>
      <c r="E529" s="7" t="str">
        <f aca="false">IF(D529="","",IFERROR(INDEX(Materiali!$B:$B,MATCH(D529,Materiali!$A:$A,0)),"codice?"))</f>
        <v/>
      </c>
      <c r="F529" s="13"/>
      <c r="G529" s="13"/>
      <c r="H529" s="9" t="str">
        <f aca="false">IF(D529="","",IFERROR(INDEX(Materiali!$C:$C,MATCH(D529,Materiali!$A:$A,0)),0))</f>
        <v/>
      </c>
      <c r="I529" s="9" t="str">
        <f aca="false">IF(OR(G529="",H529=""),"",IF(F529="Uscita",-1,1)*G529*H529)</f>
        <v/>
      </c>
      <c r="J529" s="13"/>
      <c r="K529" s="13"/>
    </row>
    <row r="530" customFormat="false" ht="15" hidden="false" customHeight="false" outlineLevel="0" collapsed="false">
      <c r="A530" s="12"/>
      <c r="B530" s="13"/>
      <c r="C530" s="13"/>
      <c r="D530" s="13"/>
      <c r="E530" s="7" t="str">
        <f aca="false">IF(D530="","",IFERROR(INDEX(Materiali!$B:$B,MATCH(D530,Materiali!$A:$A,0)),"codice?"))</f>
        <v/>
      </c>
      <c r="F530" s="13"/>
      <c r="G530" s="13"/>
      <c r="H530" s="9" t="str">
        <f aca="false">IF(D530="","",IFERROR(INDEX(Materiali!$C:$C,MATCH(D530,Materiali!$A:$A,0)),0))</f>
        <v/>
      </c>
      <c r="I530" s="9" t="str">
        <f aca="false">IF(OR(G530="",H530=""),"",IF(F530="Uscita",-1,1)*G530*H530)</f>
        <v/>
      </c>
      <c r="J530" s="13"/>
      <c r="K530" s="13"/>
    </row>
    <row r="531" customFormat="false" ht="15" hidden="false" customHeight="false" outlineLevel="0" collapsed="false">
      <c r="A531" s="12"/>
      <c r="B531" s="13"/>
      <c r="C531" s="13"/>
      <c r="D531" s="13"/>
      <c r="E531" s="7" t="str">
        <f aca="false">IF(D531="","",IFERROR(INDEX(Materiali!$B:$B,MATCH(D531,Materiali!$A:$A,0)),"codice?"))</f>
        <v/>
      </c>
      <c r="F531" s="13"/>
      <c r="G531" s="13"/>
      <c r="H531" s="9" t="str">
        <f aca="false">IF(D531="","",IFERROR(INDEX(Materiali!$C:$C,MATCH(D531,Materiali!$A:$A,0)),0))</f>
        <v/>
      </c>
      <c r="I531" s="9" t="str">
        <f aca="false">IF(OR(G531="",H531=""),"",IF(F531="Uscita",-1,1)*G531*H531)</f>
        <v/>
      </c>
      <c r="J531" s="13"/>
      <c r="K531" s="13"/>
    </row>
    <row r="532" customFormat="false" ht="15" hidden="false" customHeight="false" outlineLevel="0" collapsed="false">
      <c r="A532" s="12"/>
      <c r="B532" s="13"/>
      <c r="C532" s="13"/>
      <c r="D532" s="13"/>
      <c r="E532" s="7" t="str">
        <f aca="false">IF(D532="","",IFERROR(INDEX(Materiali!$B:$B,MATCH(D532,Materiali!$A:$A,0)),"codice?"))</f>
        <v/>
      </c>
      <c r="F532" s="13"/>
      <c r="G532" s="13"/>
      <c r="H532" s="9" t="str">
        <f aca="false">IF(D532="","",IFERROR(INDEX(Materiali!$C:$C,MATCH(D532,Materiali!$A:$A,0)),0))</f>
        <v/>
      </c>
      <c r="I532" s="9" t="str">
        <f aca="false">IF(OR(G532="",H532=""),"",IF(F532="Uscita",-1,1)*G532*H532)</f>
        <v/>
      </c>
      <c r="J532" s="13"/>
      <c r="K532" s="13"/>
    </row>
    <row r="533" customFormat="false" ht="15" hidden="false" customHeight="false" outlineLevel="0" collapsed="false">
      <c r="A533" s="12"/>
      <c r="B533" s="13"/>
      <c r="C533" s="13"/>
      <c r="D533" s="13"/>
      <c r="E533" s="7" t="str">
        <f aca="false">IF(D533="","",IFERROR(INDEX(Materiali!$B:$B,MATCH(D533,Materiali!$A:$A,0)),"codice?"))</f>
        <v/>
      </c>
      <c r="F533" s="13"/>
      <c r="G533" s="13"/>
      <c r="H533" s="9" t="str">
        <f aca="false">IF(D533="","",IFERROR(INDEX(Materiali!$C:$C,MATCH(D533,Materiali!$A:$A,0)),0))</f>
        <v/>
      </c>
      <c r="I533" s="9" t="str">
        <f aca="false">IF(OR(G533="",H533=""),"",IF(F533="Uscita",-1,1)*G533*H533)</f>
        <v/>
      </c>
      <c r="J533" s="13"/>
      <c r="K533" s="13"/>
    </row>
    <row r="534" customFormat="false" ht="15" hidden="false" customHeight="false" outlineLevel="0" collapsed="false">
      <c r="A534" s="12"/>
      <c r="B534" s="13"/>
      <c r="C534" s="13"/>
      <c r="D534" s="13"/>
      <c r="E534" s="7" t="str">
        <f aca="false">IF(D534="","",IFERROR(INDEX(Materiali!$B:$B,MATCH(D534,Materiali!$A:$A,0)),"codice?"))</f>
        <v/>
      </c>
      <c r="F534" s="13"/>
      <c r="G534" s="13"/>
      <c r="H534" s="9" t="str">
        <f aca="false">IF(D534="","",IFERROR(INDEX(Materiali!$C:$C,MATCH(D534,Materiali!$A:$A,0)),0))</f>
        <v/>
      </c>
      <c r="I534" s="9" t="str">
        <f aca="false">IF(OR(G534="",H534=""),"",IF(F534="Uscita",-1,1)*G534*H534)</f>
        <v/>
      </c>
      <c r="J534" s="13"/>
      <c r="K534" s="13"/>
    </row>
    <row r="535" customFormat="false" ht="15" hidden="false" customHeight="false" outlineLevel="0" collapsed="false">
      <c r="A535" s="12"/>
      <c r="B535" s="13"/>
      <c r="C535" s="13"/>
      <c r="D535" s="13"/>
      <c r="E535" s="7" t="str">
        <f aca="false">IF(D535="","",IFERROR(INDEX(Materiali!$B:$B,MATCH(D535,Materiali!$A:$A,0)),"codice?"))</f>
        <v/>
      </c>
      <c r="F535" s="13"/>
      <c r="G535" s="13"/>
      <c r="H535" s="9" t="str">
        <f aca="false">IF(D535="","",IFERROR(INDEX(Materiali!$C:$C,MATCH(D535,Materiali!$A:$A,0)),0))</f>
        <v/>
      </c>
      <c r="I535" s="9" t="str">
        <f aca="false">IF(OR(G535="",H535=""),"",IF(F535="Uscita",-1,1)*G535*H535)</f>
        <v/>
      </c>
      <c r="J535" s="13"/>
      <c r="K535" s="13"/>
    </row>
    <row r="536" customFormat="false" ht="15" hidden="false" customHeight="false" outlineLevel="0" collapsed="false">
      <c r="A536" s="12"/>
      <c r="B536" s="13"/>
      <c r="C536" s="13"/>
      <c r="D536" s="13"/>
      <c r="E536" s="7" t="str">
        <f aca="false">IF(D536="","",IFERROR(INDEX(Materiali!$B:$B,MATCH(D536,Materiali!$A:$A,0)),"codice?"))</f>
        <v/>
      </c>
      <c r="F536" s="13"/>
      <c r="G536" s="13"/>
      <c r="H536" s="9" t="str">
        <f aca="false">IF(D536="","",IFERROR(INDEX(Materiali!$C:$C,MATCH(D536,Materiali!$A:$A,0)),0))</f>
        <v/>
      </c>
      <c r="I536" s="9" t="str">
        <f aca="false">IF(OR(G536="",H536=""),"",IF(F536="Uscita",-1,1)*G536*H536)</f>
        <v/>
      </c>
      <c r="J536" s="13"/>
      <c r="K536" s="13"/>
    </row>
    <row r="537" customFormat="false" ht="15" hidden="false" customHeight="false" outlineLevel="0" collapsed="false">
      <c r="A537" s="12"/>
      <c r="B537" s="13"/>
      <c r="C537" s="13"/>
      <c r="D537" s="13"/>
      <c r="E537" s="7" t="str">
        <f aca="false">IF(D537="","",IFERROR(INDEX(Materiali!$B:$B,MATCH(D537,Materiali!$A:$A,0)),"codice?"))</f>
        <v/>
      </c>
      <c r="F537" s="13"/>
      <c r="G537" s="13"/>
      <c r="H537" s="9" t="str">
        <f aca="false">IF(D537="","",IFERROR(INDEX(Materiali!$C:$C,MATCH(D537,Materiali!$A:$A,0)),0))</f>
        <v/>
      </c>
      <c r="I537" s="9" t="str">
        <f aca="false">IF(OR(G537="",H537=""),"",IF(F537="Uscita",-1,1)*G537*H537)</f>
        <v/>
      </c>
      <c r="J537" s="13"/>
      <c r="K537" s="13"/>
    </row>
    <row r="538" customFormat="false" ht="15" hidden="false" customHeight="false" outlineLevel="0" collapsed="false">
      <c r="A538" s="12"/>
      <c r="B538" s="13"/>
      <c r="C538" s="13"/>
      <c r="D538" s="13"/>
      <c r="E538" s="7" t="str">
        <f aca="false">IF(D538="","",IFERROR(INDEX(Materiali!$B:$B,MATCH(D538,Materiali!$A:$A,0)),"codice?"))</f>
        <v/>
      </c>
      <c r="F538" s="13"/>
      <c r="G538" s="13"/>
      <c r="H538" s="9" t="str">
        <f aca="false">IF(D538="","",IFERROR(INDEX(Materiali!$C:$C,MATCH(D538,Materiali!$A:$A,0)),0))</f>
        <v/>
      </c>
      <c r="I538" s="9" t="str">
        <f aca="false">IF(OR(G538="",H538=""),"",IF(F538="Uscita",-1,1)*G538*H538)</f>
        <v/>
      </c>
      <c r="J538" s="13"/>
      <c r="K538" s="13"/>
    </row>
    <row r="539" customFormat="false" ht="15" hidden="false" customHeight="false" outlineLevel="0" collapsed="false">
      <c r="A539" s="12"/>
      <c r="B539" s="13"/>
      <c r="C539" s="13"/>
      <c r="D539" s="13"/>
      <c r="E539" s="7" t="str">
        <f aca="false">IF(D539="","",IFERROR(INDEX(Materiali!$B:$B,MATCH(D539,Materiali!$A:$A,0)),"codice?"))</f>
        <v/>
      </c>
      <c r="F539" s="13"/>
      <c r="G539" s="13"/>
      <c r="H539" s="9" t="str">
        <f aca="false">IF(D539="","",IFERROR(INDEX(Materiali!$C:$C,MATCH(D539,Materiali!$A:$A,0)),0))</f>
        <v/>
      </c>
      <c r="I539" s="9" t="str">
        <f aca="false">IF(OR(G539="",H539=""),"",IF(F539="Uscita",-1,1)*G539*H539)</f>
        <v/>
      </c>
      <c r="J539" s="13"/>
      <c r="K539" s="13"/>
    </row>
    <row r="540" customFormat="false" ht="15" hidden="false" customHeight="false" outlineLevel="0" collapsed="false">
      <c r="A540" s="12"/>
      <c r="B540" s="13"/>
      <c r="C540" s="13"/>
      <c r="D540" s="13"/>
      <c r="E540" s="7" t="str">
        <f aca="false">IF(D540="","",IFERROR(INDEX(Materiali!$B:$B,MATCH(D540,Materiali!$A:$A,0)),"codice?"))</f>
        <v/>
      </c>
      <c r="F540" s="13"/>
      <c r="G540" s="13"/>
      <c r="H540" s="9" t="str">
        <f aca="false">IF(D540="","",IFERROR(INDEX(Materiali!$C:$C,MATCH(D540,Materiali!$A:$A,0)),0))</f>
        <v/>
      </c>
      <c r="I540" s="9" t="str">
        <f aca="false">IF(OR(G540="",H540=""),"",IF(F540="Uscita",-1,1)*G540*H540)</f>
        <v/>
      </c>
      <c r="J540" s="13"/>
      <c r="K540" s="13"/>
    </row>
    <row r="541" customFormat="false" ht="15" hidden="false" customHeight="false" outlineLevel="0" collapsed="false">
      <c r="A541" s="12"/>
      <c r="B541" s="13"/>
      <c r="C541" s="13"/>
      <c r="D541" s="13"/>
      <c r="E541" s="7" t="str">
        <f aca="false">IF(D541="","",IFERROR(INDEX(Materiali!$B:$B,MATCH(D541,Materiali!$A:$A,0)),"codice?"))</f>
        <v/>
      </c>
      <c r="F541" s="13"/>
      <c r="G541" s="13"/>
      <c r="H541" s="9" t="str">
        <f aca="false">IF(D541="","",IFERROR(INDEX(Materiali!$C:$C,MATCH(D541,Materiali!$A:$A,0)),0))</f>
        <v/>
      </c>
      <c r="I541" s="9" t="str">
        <f aca="false">IF(OR(G541="",H541=""),"",IF(F541="Uscita",-1,1)*G541*H541)</f>
        <v/>
      </c>
      <c r="J541" s="13"/>
      <c r="K541" s="13"/>
    </row>
    <row r="542" customFormat="false" ht="15" hidden="false" customHeight="false" outlineLevel="0" collapsed="false">
      <c r="A542" s="12"/>
      <c r="B542" s="13"/>
      <c r="C542" s="13"/>
      <c r="D542" s="13"/>
      <c r="E542" s="7" t="str">
        <f aca="false">IF(D542="","",IFERROR(INDEX(Materiali!$B:$B,MATCH(D542,Materiali!$A:$A,0)),"codice?"))</f>
        <v/>
      </c>
      <c r="F542" s="13"/>
      <c r="G542" s="13"/>
      <c r="H542" s="9" t="str">
        <f aca="false">IF(D542="","",IFERROR(INDEX(Materiali!$C:$C,MATCH(D542,Materiali!$A:$A,0)),0))</f>
        <v/>
      </c>
      <c r="I542" s="9" t="str">
        <f aca="false">IF(OR(G542="",H542=""),"",IF(F542="Uscita",-1,1)*G542*H542)</f>
        <v/>
      </c>
      <c r="J542" s="13"/>
      <c r="K542" s="13"/>
    </row>
    <row r="543" customFormat="false" ht="15" hidden="false" customHeight="false" outlineLevel="0" collapsed="false">
      <c r="A543" s="12"/>
      <c r="B543" s="13"/>
      <c r="C543" s="13"/>
      <c r="D543" s="13"/>
      <c r="E543" s="7" t="str">
        <f aca="false">IF(D543="","",IFERROR(INDEX(Materiali!$B:$B,MATCH(D543,Materiali!$A:$A,0)),"codice?"))</f>
        <v/>
      </c>
      <c r="F543" s="13"/>
      <c r="G543" s="13"/>
      <c r="H543" s="9" t="str">
        <f aca="false">IF(D543="","",IFERROR(INDEX(Materiali!$C:$C,MATCH(D543,Materiali!$A:$A,0)),0))</f>
        <v/>
      </c>
      <c r="I543" s="9" t="str">
        <f aca="false">IF(OR(G543="",H543=""),"",IF(F543="Uscita",-1,1)*G543*H543)</f>
        <v/>
      </c>
      <c r="J543" s="13"/>
      <c r="K543" s="13"/>
    </row>
    <row r="544" customFormat="false" ht="15" hidden="false" customHeight="false" outlineLevel="0" collapsed="false">
      <c r="A544" s="12"/>
      <c r="B544" s="13"/>
      <c r="C544" s="13"/>
      <c r="D544" s="13"/>
      <c r="E544" s="7" t="str">
        <f aca="false">IF(D544="","",IFERROR(INDEX(Materiali!$B:$B,MATCH(D544,Materiali!$A:$A,0)),"codice?"))</f>
        <v/>
      </c>
      <c r="F544" s="13"/>
      <c r="G544" s="13"/>
      <c r="H544" s="9" t="str">
        <f aca="false">IF(D544="","",IFERROR(INDEX(Materiali!$C:$C,MATCH(D544,Materiali!$A:$A,0)),0))</f>
        <v/>
      </c>
      <c r="I544" s="9" t="str">
        <f aca="false">IF(OR(G544="",H544=""),"",IF(F544="Uscita",-1,1)*G544*H544)</f>
        <v/>
      </c>
      <c r="J544" s="13"/>
      <c r="K544" s="13"/>
    </row>
    <row r="545" customFormat="false" ht="15" hidden="false" customHeight="false" outlineLevel="0" collapsed="false">
      <c r="A545" s="12"/>
      <c r="B545" s="13"/>
      <c r="C545" s="13"/>
      <c r="D545" s="13"/>
      <c r="E545" s="7" t="str">
        <f aca="false">IF(D545="","",IFERROR(INDEX(Materiali!$B:$B,MATCH(D545,Materiali!$A:$A,0)),"codice?"))</f>
        <v/>
      </c>
      <c r="F545" s="13"/>
      <c r="G545" s="13"/>
      <c r="H545" s="9" t="str">
        <f aca="false">IF(D545="","",IFERROR(INDEX(Materiali!$C:$C,MATCH(D545,Materiali!$A:$A,0)),0))</f>
        <v/>
      </c>
      <c r="I545" s="9" t="str">
        <f aca="false">IF(OR(G545="",H545=""),"",IF(F545="Uscita",-1,1)*G545*H545)</f>
        <v/>
      </c>
      <c r="J545" s="13"/>
      <c r="K545" s="13"/>
    </row>
    <row r="546" customFormat="false" ht="15" hidden="false" customHeight="false" outlineLevel="0" collapsed="false">
      <c r="A546" s="12"/>
      <c r="B546" s="13"/>
      <c r="C546" s="13"/>
      <c r="D546" s="13"/>
      <c r="E546" s="7" t="str">
        <f aca="false">IF(D546="","",IFERROR(INDEX(Materiali!$B:$B,MATCH(D546,Materiali!$A:$A,0)),"codice?"))</f>
        <v/>
      </c>
      <c r="F546" s="13"/>
      <c r="G546" s="13"/>
      <c r="H546" s="9" t="str">
        <f aca="false">IF(D546="","",IFERROR(INDEX(Materiali!$C:$C,MATCH(D546,Materiali!$A:$A,0)),0))</f>
        <v/>
      </c>
      <c r="I546" s="9" t="str">
        <f aca="false">IF(OR(G546="",H546=""),"",IF(F546="Uscita",-1,1)*G546*H546)</f>
        <v/>
      </c>
      <c r="J546" s="13"/>
      <c r="K546" s="13"/>
    </row>
    <row r="547" customFormat="false" ht="15" hidden="false" customHeight="false" outlineLevel="0" collapsed="false">
      <c r="A547" s="12"/>
      <c r="B547" s="13"/>
      <c r="C547" s="13"/>
      <c r="D547" s="13"/>
      <c r="E547" s="7" t="str">
        <f aca="false">IF(D547="","",IFERROR(INDEX(Materiali!$B:$B,MATCH(D547,Materiali!$A:$A,0)),"codice?"))</f>
        <v/>
      </c>
      <c r="F547" s="13"/>
      <c r="G547" s="13"/>
      <c r="H547" s="9" t="str">
        <f aca="false">IF(D547="","",IFERROR(INDEX(Materiali!$C:$C,MATCH(D547,Materiali!$A:$A,0)),0))</f>
        <v/>
      </c>
      <c r="I547" s="9" t="str">
        <f aca="false">IF(OR(G547="",H547=""),"",IF(F547="Uscita",-1,1)*G547*H547)</f>
        <v/>
      </c>
      <c r="J547" s="13"/>
      <c r="K547" s="13"/>
    </row>
    <row r="548" customFormat="false" ht="15" hidden="false" customHeight="false" outlineLevel="0" collapsed="false">
      <c r="A548" s="12"/>
      <c r="B548" s="13"/>
      <c r="C548" s="13"/>
      <c r="D548" s="13"/>
      <c r="E548" s="7" t="str">
        <f aca="false">IF(D548="","",IFERROR(INDEX(Materiali!$B:$B,MATCH(D548,Materiali!$A:$A,0)),"codice?"))</f>
        <v/>
      </c>
      <c r="F548" s="13"/>
      <c r="G548" s="13"/>
      <c r="H548" s="9" t="str">
        <f aca="false">IF(D548="","",IFERROR(INDEX(Materiali!$C:$C,MATCH(D548,Materiali!$A:$A,0)),0))</f>
        <v/>
      </c>
      <c r="I548" s="9" t="str">
        <f aca="false">IF(OR(G548="",H548=""),"",IF(F548="Uscita",-1,1)*G548*H548)</f>
        <v/>
      </c>
      <c r="J548" s="13"/>
      <c r="K548" s="13"/>
    </row>
    <row r="549" customFormat="false" ht="15" hidden="false" customHeight="false" outlineLevel="0" collapsed="false">
      <c r="A549" s="12"/>
      <c r="B549" s="13"/>
      <c r="C549" s="13"/>
      <c r="D549" s="13"/>
      <c r="E549" s="7" t="str">
        <f aca="false">IF(D549="","",IFERROR(INDEX(Materiali!$B:$B,MATCH(D549,Materiali!$A:$A,0)),"codice?"))</f>
        <v/>
      </c>
      <c r="F549" s="13"/>
      <c r="G549" s="13"/>
      <c r="H549" s="9" t="str">
        <f aca="false">IF(D549="","",IFERROR(INDEX(Materiali!$C:$C,MATCH(D549,Materiali!$A:$A,0)),0))</f>
        <v/>
      </c>
      <c r="I549" s="9" t="str">
        <f aca="false">IF(OR(G549="",H549=""),"",IF(F549="Uscita",-1,1)*G549*H549)</f>
        <v/>
      </c>
      <c r="J549" s="13"/>
      <c r="K549" s="13"/>
    </row>
    <row r="550" customFormat="false" ht="15" hidden="false" customHeight="false" outlineLevel="0" collapsed="false">
      <c r="A550" s="12"/>
      <c r="B550" s="13"/>
      <c r="C550" s="13"/>
      <c r="D550" s="13"/>
      <c r="E550" s="7" t="str">
        <f aca="false">IF(D550="","",IFERROR(INDEX(Materiali!$B:$B,MATCH(D550,Materiali!$A:$A,0)),"codice?"))</f>
        <v/>
      </c>
      <c r="F550" s="13"/>
      <c r="G550" s="13"/>
      <c r="H550" s="9" t="str">
        <f aca="false">IF(D550="","",IFERROR(INDEX(Materiali!$C:$C,MATCH(D550,Materiali!$A:$A,0)),0))</f>
        <v/>
      </c>
      <c r="I550" s="9" t="str">
        <f aca="false">IF(OR(G550="",H550=""),"",IF(F550="Uscita",-1,1)*G550*H550)</f>
        <v/>
      </c>
      <c r="J550" s="13"/>
      <c r="K550" s="13"/>
    </row>
    <row r="551" customFormat="false" ht="15" hidden="false" customHeight="false" outlineLevel="0" collapsed="false">
      <c r="A551" s="12"/>
      <c r="B551" s="13"/>
      <c r="C551" s="13"/>
      <c r="D551" s="13"/>
      <c r="E551" s="7" t="str">
        <f aca="false">IF(D551="","",IFERROR(INDEX(Materiali!$B:$B,MATCH(D551,Materiali!$A:$A,0)),"codice?"))</f>
        <v/>
      </c>
      <c r="F551" s="13"/>
      <c r="G551" s="13"/>
      <c r="H551" s="9" t="str">
        <f aca="false">IF(D551="","",IFERROR(INDEX(Materiali!$C:$C,MATCH(D551,Materiali!$A:$A,0)),0))</f>
        <v/>
      </c>
      <c r="I551" s="9" t="str">
        <f aca="false">IF(OR(G551="",H551=""),"",IF(F551="Uscita",-1,1)*G551*H551)</f>
        <v/>
      </c>
      <c r="J551" s="13"/>
      <c r="K551" s="13"/>
    </row>
    <row r="552" customFormat="false" ht="15" hidden="false" customHeight="false" outlineLevel="0" collapsed="false">
      <c r="A552" s="12"/>
      <c r="B552" s="13"/>
      <c r="C552" s="13"/>
      <c r="D552" s="13"/>
      <c r="E552" s="7" t="str">
        <f aca="false">IF(D552="","",IFERROR(INDEX(Materiali!$B:$B,MATCH(D552,Materiali!$A:$A,0)),"codice?"))</f>
        <v/>
      </c>
      <c r="F552" s="13"/>
      <c r="G552" s="13"/>
      <c r="H552" s="9" t="str">
        <f aca="false">IF(D552="","",IFERROR(INDEX(Materiali!$C:$C,MATCH(D552,Materiali!$A:$A,0)),0))</f>
        <v/>
      </c>
      <c r="I552" s="9" t="str">
        <f aca="false">IF(OR(G552="",H552=""),"",IF(F552="Uscita",-1,1)*G552*H552)</f>
        <v/>
      </c>
      <c r="J552" s="13"/>
      <c r="K552" s="13"/>
    </row>
    <row r="553" customFormat="false" ht="15" hidden="false" customHeight="false" outlineLevel="0" collapsed="false">
      <c r="A553" s="12"/>
      <c r="B553" s="13"/>
      <c r="C553" s="13"/>
      <c r="D553" s="13"/>
      <c r="E553" s="7" t="str">
        <f aca="false">IF(D553="","",IFERROR(INDEX(Materiali!$B:$B,MATCH(D553,Materiali!$A:$A,0)),"codice?"))</f>
        <v/>
      </c>
      <c r="F553" s="13"/>
      <c r="G553" s="13"/>
      <c r="H553" s="9" t="str">
        <f aca="false">IF(D553="","",IFERROR(INDEX(Materiali!$C:$C,MATCH(D553,Materiali!$A:$A,0)),0))</f>
        <v/>
      </c>
      <c r="I553" s="9" t="str">
        <f aca="false">IF(OR(G553="",H553=""),"",IF(F553="Uscita",-1,1)*G553*H553)</f>
        <v/>
      </c>
      <c r="J553" s="13"/>
      <c r="K553" s="13"/>
    </row>
    <row r="554" customFormat="false" ht="15" hidden="false" customHeight="false" outlineLevel="0" collapsed="false">
      <c r="A554" s="12"/>
      <c r="B554" s="13"/>
      <c r="C554" s="13"/>
      <c r="D554" s="13"/>
      <c r="E554" s="7" t="str">
        <f aca="false">IF(D554="","",IFERROR(INDEX(Materiali!$B:$B,MATCH(D554,Materiali!$A:$A,0)),"codice?"))</f>
        <v/>
      </c>
      <c r="F554" s="13"/>
      <c r="G554" s="13"/>
      <c r="H554" s="9" t="str">
        <f aca="false">IF(D554="","",IFERROR(INDEX(Materiali!$C:$C,MATCH(D554,Materiali!$A:$A,0)),0))</f>
        <v/>
      </c>
      <c r="I554" s="9" t="str">
        <f aca="false">IF(OR(G554="",H554=""),"",IF(F554="Uscita",-1,1)*G554*H554)</f>
        <v/>
      </c>
      <c r="J554" s="13"/>
      <c r="K554" s="13"/>
    </row>
    <row r="555" customFormat="false" ht="15" hidden="false" customHeight="false" outlineLevel="0" collapsed="false">
      <c r="A555" s="12"/>
      <c r="B555" s="13"/>
      <c r="C555" s="13"/>
      <c r="D555" s="13"/>
      <c r="E555" s="7" t="str">
        <f aca="false">IF(D555="","",IFERROR(INDEX(Materiali!$B:$B,MATCH(D555,Materiali!$A:$A,0)),"codice?"))</f>
        <v/>
      </c>
      <c r="F555" s="13"/>
      <c r="G555" s="13"/>
      <c r="H555" s="9" t="str">
        <f aca="false">IF(D555="","",IFERROR(INDEX(Materiali!$C:$C,MATCH(D555,Materiali!$A:$A,0)),0))</f>
        <v/>
      </c>
      <c r="I555" s="9" t="str">
        <f aca="false">IF(OR(G555="",H555=""),"",IF(F555="Uscita",-1,1)*G555*H555)</f>
        <v/>
      </c>
      <c r="J555" s="13"/>
      <c r="K555" s="13"/>
    </row>
    <row r="556" customFormat="false" ht="15" hidden="false" customHeight="false" outlineLevel="0" collapsed="false">
      <c r="A556" s="12"/>
      <c r="B556" s="13"/>
      <c r="C556" s="13"/>
      <c r="D556" s="13"/>
      <c r="E556" s="7" t="str">
        <f aca="false">IF(D556="","",IFERROR(INDEX(Materiali!$B:$B,MATCH(D556,Materiali!$A:$A,0)),"codice?"))</f>
        <v/>
      </c>
      <c r="F556" s="13"/>
      <c r="G556" s="13"/>
      <c r="H556" s="9" t="str">
        <f aca="false">IF(D556="","",IFERROR(INDEX(Materiali!$C:$C,MATCH(D556,Materiali!$A:$A,0)),0))</f>
        <v/>
      </c>
      <c r="I556" s="9" t="str">
        <f aca="false">IF(OR(G556="",H556=""),"",IF(F556="Uscita",-1,1)*G556*H556)</f>
        <v/>
      </c>
      <c r="J556" s="13"/>
      <c r="K556" s="13"/>
    </row>
    <row r="557" customFormat="false" ht="15" hidden="false" customHeight="false" outlineLevel="0" collapsed="false">
      <c r="A557" s="12"/>
      <c r="B557" s="13"/>
      <c r="C557" s="13"/>
      <c r="D557" s="13"/>
      <c r="E557" s="7" t="str">
        <f aca="false">IF(D557="","",IFERROR(INDEX(Materiali!$B:$B,MATCH(D557,Materiali!$A:$A,0)),"codice?"))</f>
        <v/>
      </c>
      <c r="F557" s="13"/>
      <c r="G557" s="13"/>
      <c r="H557" s="9" t="str">
        <f aca="false">IF(D557="","",IFERROR(INDEX(Materiali!$C:$C,MATCH(D557,Materiali!$A:$A,0)),0))</f>
        <v/>
      </c>
      <c r="I557" s="9" t="str">
        <f aca="false">IF(OR(G557="",H557=""),"",IF(F557="Uscita",-1,1)*G557*H557)</f>
        <v/>
      </c>
      <c r="J557" s="13"/>
      <c r="K557" s="13"/>
    </row>
    <row r="558" customFormat="false" ht="15" hidden="false" customHeight="false" outlineLevel="0" collapsed="false">
      <c r="A558" s="12"/>
      <c r="B558" s="13"/>
      <c r="C558" s="13"/>
      <c r="D558" s="13"/>
      <c r="E558" s="7" t="str">
        <f aca="false">IF(D558="","",IFERROR(INDEX(Materiali!$B:$B,MATCH(D558,Materiali!$A:$A,0)),"codice?"))</f>
        <v/>
      </c>
      <c r="F558" s="13"/>
      <c r="G558" s="13"/>
      <c r="H558" s="9" t="str">
        <f aca="false">IF(D558="","",IFERROR(INDEX(Materiali!$C:$C,MATCH(D558,Materiali!$A:$A,0)),0))</f>
        <v/>
      </c>
      <c r="I558" s="9" t="str">
        <f aca="false">IF(OR(G558="",H558=""),"",IF(F558="Uscita",-1,1)*G558*H558)</f>
        <v/>
      </c>
      <c r="J558" s="13"/>
      <c r="K558" s="13"/>
    </row>
    <row r="559" customFormat="false" ht="15" hidden="false" customHeight="false" outlineLevel="0" collapsed="false">
      <c r="A559" s="12"/>
      <c r="B559" s="13"/>
      <c r="C559" s="13"/>
      <c r="D559" s="13"/>
      <c r="E559" s="7" t="str">
        <f aca="false">IF(D559="","",IFERROR(INDEX(Materiali!$B:$B,MATCH(D559,Materiali!$A:$A,0)),"codice?"))</f>
        <v/>
      </c>
      <c r="F559" s="13"/>
      <c r="G559" s="13"/>
      <c r="H559" s="9" t="str">
        <f aca="false">IF(D559="","",IFERROR(INDEX(Materiali!$C:$C,MATCH(D559,Materiali!$A:$A,0)),0))</f>
        <v/>
      </c>
      <c r="I559" s="9" t="str">
        <f aca="false">IF(OR(G559="",H559=""),"",IF(F559="Uscita",-1,1)*G559*H559)</f>
        <v/>
      </c>
      <c r="J559" s="13"/>
      <c r="K559" s="13"/>
    </row>
    <row r="560" customFormat="false" ht="15" hidden="false" customHeight="false" outlineLevel="0" collapsed="false">
      <c r="A560" s="12"/>
      <c r="B560" s="13"/>
      <c r="C560" s="13"/>
      <c r="D560" s="13"/>
      <c r="E560" s="7" t="str">
        <f aca="false">IF(D560="","",IFERROR(INDEX(Materiali!$B:$B,MATCH(D560,Materiali!$A:$A,0)),"codice?"))</f>
        <v/>
      </c>
      <c r="F560" s="13"/>
      <c r="G560" s="13"/>
      <c r="H560" s="9" t="str">
        <f aca="false">IF(D560="","",IFERROR(INDEX(Materiali!$C:$C,MATCH(D560,Materiali!$A:$A,0)),0))</f>
        <v/>
      </c>
      <c r="I560" s="9" t="str">
        <f aca="false">IF(OR(G560="",H560=""),"",IF(F560="Uscita",-1,1)*G560*H560)</f>
        <v/>
      </c>
      <c r="J560" s="13"/>
      <c r="K560" s="13"/>
    </row>
    <row r="561" customFormat="false" ht="15" hidden="false" customHeight="false" outlineLevel="0" collapsed="false">
      <c r="A561" s="12"/>
      <c r="B561" s="13"/>
      <c r="C561" s="13"/>
      <c r="D561" s="13"/>
      <c r="E561" s="7" t="str">
        <f aca="false">IF(D561="","",IFERROR(INDEX(Materiali!$B:$B,MATCH(D561,Materiali!$A:$A,0)),"codice?"))</f>
        <v/>
      </c>
      <c r="F561" s="13"/>
      <c r="G561" s="13"/>
      <c r="H561" s="9" t="str">
        <f aca="false">IF(D561="","",IFERROR(INDEX(Materiali!$C:$C,MATCH(D561,Materiali!$A:$A,0)),0))</f>
        <v/>
      </c>
      <c r="I561" s="9" t="str">
        <f aca="false">IF(OR(G561="",H561=""),"",IF(F561="Uscita",-1,1)*G561*H561)</f>
        <v/>
      </c>
      <c r="J561" s="13"/>
      <c r="K561" s="13"/>
    </row>
    <row r="562" customFormat="false" ht="15" hidden="false" customHeight="false" outlineLevel="0" collapsed="false">
      <c r="A562" s="12"/>
      <c r="B562" s="13"/>
      <c r="C562" s="13"/>
      <c r="D562" s="13"/>
      <c r="E562" s="7" t="str">
        <f aca="false">IF(D562="","",IFERROR(INDEX(Materiali!$B:$B,MATCH(D562,Materiali!$A:$A,0)),"codice?"))</f>
        <v/>
      </c>
      <c r="F562" s="13"/>
      <c r="G562" s="13"/>
      <c r="H562" s="9" t="str">
        <f aca="false">IF(D562="","",IFERROR(INDEX(Materiali!$C:$C,MATCH(D562,Materiali!$A:$A,0)),0))</f>
        <v/>
      </c>
      <c r="I562" s="9" t="str">
        <f aca="false">IF(OR(G562="",H562=""),"",IF(F562="Uscita",-1,1)*G562*H562)</f>
        <v/>
      </c>
      <c r="J562" s="13"/>
      <c r="K562" s="13"/>
    </row>
    <row r="563" customFormat="false" ht="15" hidden="false" customHeight="false" outlineLevel="0" collapsed="false">
      <c r="A563" s="12"/>
      <c r="B563" s="13"/>
      <c r="C563" s="13"/>
      <c r="D563" s="13"/>
      <c r="E563" s="7" t="str">
        <f aca="false">IF(D563="","",IFERROR(INDEX(Materiali!$B:$B,MATCH(D563,Materiali!$A:$A,0)),"codice?"))</f>
        <v/>
      </c>
      <c r="F563" s="13"/>
      <c r="G563" s="13"/>
      <c r="H563" s="9" t="str">
        <f aca="false">IF(D563="","",IFERROR(INDEX(Materiali!$C:$C,MATCH(D563,Materiali!$A:$A,0)),0))</f>
        <v/>
      </c>
      <c r="I563" s="9" t="str">
        <f aca="false">IF(OR(G563="",H563=""),"",IF(F563="Uscita",-1,1)*G563*H563)</f>
        <v/>
      </c>
      <c r="J563" s="13"/>
      <c r="K563" s="13"/>
    </row>
    <row r="564" customFormat="false" ht="15" hidden="false" customHeight="false" outlineLevel="0" collapsed="false">
      <c r="A564" s="12"/>
      <c r="B564" s="13"/>
      <c r="C564" s="13"/>
      <c r="D564" s="13"/>
      <c r="E564" s="7" t="str">
        <f aca="false">IF(D564="","",IFERROR(INDEX(Materiali!$B:$B,MATCH(D564,Materiali!$A:$A,0)),"codice?"))</f>
        <v/>
      </c>
      <c r="F564" s="13"/>
      <c r="G564" s="13"/>
      <c r="H564" s="9" t="str">
        <f aca="false">IF(D564="","",IFERROR(INDEX(Materiali!$C:$C,MATCH(D564,Materiali!$A:$A,0)),0))</f>
        <v/>
      </c>
      <c r="I564" s="9" t="str">
        <f aca="false">IF(OR(G564="",H564=""),"",IF(F564="Uscita",-1,1)*G564*H564)</f>
        <v/>
      </c>
      <c r="J564" s="13"/>
      <c r="K564" s="13"/>
    </row>
    <row r="565" customFormat="false" ht="15" hidden="false" customHeight="false" outlineLevel="0" collapsed="false">
      <c r="A565" s="12"/>
      <c r="B565" s="13"/>
      <c r="C565" s="13"/>
      <c r="D565" s="13"/>
      <c r="E565" s="7" t="str">
        <f aca="false">IF(D565="","",IFERROR(INDEX(Materiali!$B:$B,MATCH(D565,Materiali!$A:$A,0)),"codice?"))</f>
        <v/>
      </c>
      <c r="F565" s="13"/>
      <c r="G565" s="13"/>
      <c r="H565" s="9" t="str">
        <f aca="false">IF(D565="","",IFERROR(INDEX(Materiali!$C:$C,MATCH(D565,Materiali!$A:$A,0)),0))</f>
        <v/>
      </c>
      <c r="I565" s="9" t="str">
        <f aca="false">IF(OR(G565="",H565=""),"",IF(F565="Uscita",-1,1)*G565*H565)</f>
        <v/>
      </c>
      <c r="J565" s="13"/>
      <c r="K565" s="13"/>
    </row>
    <row r="566" customFormat="false" ht="15" hidden="false" customHeight="false" outlineLevel="0" collapsed="false">
      <c r="A566" s="12"/>
      <c r="B566" s="13"/>
      <c r="C566" s="13"/>
      <c r="D566" s="13"/>
      <c r="E566" s="7" t="str">
        <f aca="false">IF(D566="","",IFERROR(INDEX(Materiali!$B:$B,MATCH(D566,Materiali!$A:$A,0)),"codice?"))</f>
        <v/>
      </c>
      <c r="F566" s="13"/>
      <c r="G566" s="13"/>
      <c r="H566" s="9" t="str">
        <f aca="false">IF(D566="","",IFERROR(INDEX(Materiali!$C:$C,MATCH(D566,Materiali!$A:$A,0)),0))</f>
        <v/>
      </c>
      <c r="I566" s="9" t="str">
        <f aca="false">IF(OR(G566="",H566=""),"",IF(F566="Uscita",-1,1)*G566*H566)</f>
        <v/>
      </c>
      <c r="J566" s="13"/>
      <c r="K566" s="13"/>
    </row>
    <row r="567" customFormat="false" ht="15" hidden="false" customHeight="false" outlineLevel="0" collapsed="false">
      <c r="A567" s="12"/>
      <c r="B567" s="13"/>
      <c r="C567" s="13"/>
      <c r="D567" s="13"/>
      <c r="E567" s="7" t="str">
        <f aca="false">IF(D567="","",IFERROR(INDEX(Materiali!$B:$B,MATCH(D567,Materiali!$A:$A,0)),"codice?"))</f>
        <v/>
      </c>
      <c r="F567" s="13"/>
      <c r="G567" s="13"/>
      <c r="H567" s="9" t="str">
        <f aca="false">IF(D567="","",IFERROR(INDEX(Materiali!$C:$C,MATCH(D567,Materiali!$A:$A,0)),0))</f>
        <v/>
      </c>
      <c r="I567" s="9" t="str">
        <f aca="false">IF(OR(G567="",H567=""),"",IF(F567="Uscita",-1,1)*G567*H567)</f>
        <v/>
      </c>
      <c r="J567" s="13"/>
      <c r="K567" s="13"/>
    </row>
    <row r="568" customFormat="false" ht="15" hidden="false" customHeight="false" outlineLevel="0" collapsed="false">
      <c r="A568" s="12"/>
      <c r="B568" s="13"/>
      <c r="C568" s="13"/>
      <c r="D568" s="13"/>
      <c r="E568" s="7" t="str">
        <f aca="false">IF(D568="","",IFERROR(INDEX(Materiali!$B:$B,MATCH(D568,Materiali!$A:$A,0)),"codice?"))</f>
        <v/>
      </c>
      <c r="F568" s="13"/>
      <c r="G568" s="13"/>
      <c r="H568" s="9" t="str">
        <f aca="false">IF(D568="","",IFERROR(INDEX(Materiali!$C:$C,MATCH(D568,Materiali!$A:$A,0)),0))</f>
        <v/>
      </c>
      <c r="I568" s="9" t="str">
        <f aca="false">IF(OR(G568="",H568=""),"",IF(F568="Uscita",-1,1)*G568*H568)</f>
        <v/>
      </c>
      <c r="J568" s="13"/>
      <c r="K568" s="13"/>
    </row>
    <row r="569" customFormat="false" ht="15" hidden="false" customHeight="false" outlineLevel="0" collapsed="false">
      <c r="A569" s="12"/>
      <c r="B569" s="13"/>
      <c r="C569" s="13"/>
      <c r="D569" s="13"/>
      <c r="E569" s="7" t="str">
        <f aca="false">IF(D569="","",IFERROR(INDEX(Materiali!$B:$B,MATCH(D569,Materiali!$A:$A,0)),"codice?"))</f>
        <v/>
      </c>
      <c r="F569" s="13"/>
      <c r="G569" s="13"/>
      <c r="H569" s="9" t="str">
        <f aca="false">IF(D569="","",IFERROR(INDEX(Materiali!$C:$C,MATCH(D569,Materiali!$A:$A,0)),0))</f>
        <v/>
      </c>
      <c r="I569" s="9" t="str">
        <f aca="false">IF(OR(G569="",H569=""),"",IF(F569="Uscita",-1,1)*G569*H569)</f>
        <v/>
      </c>
      <c r="J569" s="13"/>
      <c r="K569" s="13"/>
    </row>
    <row r="570" customFormat="false" ht="15" hidden="false" customHeight="false" outlineLevel="0" collapsed="false">
      <c r="A570" s="12"/>
      <c r="B570" s="13"/>
      <c r="C570" s="13"/>
      <c r="D570" s="13"/>
      <c r="E570" s="7" t="str">
        <f aca="false">IF(D570="","",IFERROR(INDEX(Materiali!$B:$B,MATCH(D570,Materiali!$A:$A,0)),"codice?"))</f>
        <v/>
      </c>
      <c r="F570" s="13"/>
      <c r="G570" s="13"/>
      <c r="H570" s="9" t="str">
        <f aca="false">IF(D570="","",IFERROR(INDEX(Materiali!$C:$C,MATCH(D570,Materiali!$A:$A,0)),0))</f>
        <v/>
      </c>
      <c r="I570" s="9" t="str">
        <f aca="false">IF(OR(G570="",H570=""),"",IF(F570="Uscita",-1,1)*G570*H570)</f>
        <v/>
      </c>
      <c r="J570" s="13"/>
      <c r="K570" s="13"/>
    </row>
    <row r="571" customFormat="false" ht="15" hidden="false" customHeight="false" outlineLevel="0" collapsed="false">
      <c r="A571" s="12"/>
      <c r="B571" s="13"/>
      <c r="C571" s="13"/>
      <c r="D571" s="13"/>
      <c r="E571" s="7" t="str">
        <f aca="false">IF(D571="","",IFERROR(INDEX(Materiali!$B:$B,MATCH(D571,Materiali!$A:$A,0)),"codice?"))</f>
        <v/>
      </c>
      <c r="F571" s="13"/>
      <c r="G571" s="13"/>
      <c r="H571" s="9" t="str">
        <f aca="false">IF(D571="","",IFERROR(INDEX(Materiali!$C:$C,MATCH(D571,Materiali!$A:$A,0)),0))</f>
        <v/>
      </c>
      <c r="I571" s="9" t="str">
        <f aca="false">IF(OR(G571="",H571=""),"",IF(F571="Uscita",-1,1)*G571*H571)</f>
        <v/>
      </c>
      <c r="J571" s="13"/>
      <c r="K571" s="13"/>
    </row>
    <row r="572" customFormat="false" ht="15" hidden="false" customHeight="false" outlineLevel="0" collapsed="false">
      <c r="A572" s="12"/>
      <c r="B572" s="13"/>
      <c r="C572" s="13"/>
      <c r="D572" s="13"/>
      <c r="E572" s="7" t="str">
        <f aca="false">IF(D572="","",IFERROR(INDEX(Materiali!$B:$B,MATCH(D572,Materiali!$A:$A,0)),"codice?"))</f>
        <v/>
      </c>
      <c r="F572" s="13"/>
      <c r="G572" s="13"/>
      <c r="H572" s="9" t="str">
        <f aca="false">IF(D572="","",IFERROR(INDEX(Materiali!$C:$C,MATCH(D572,Materiali!$A:$A,0)),0))</f>
        <v/>
      </c>
      <c r="I572" s="9" t="str">
        <f aca="false">IF(OR(G572="",H572=""),"",IF(F572="Uscita",-1,1)*G572*H572)</f>
        <v/>
      </c>
      <c r="J572" s="13"/>
      <c r="K572" s="13"/>
    </row>
    <row r="573" customFormat="false" ht="15" hidden="false" customHeight="false" outlineLevel="0" collapsed="false">
      <c r="A573" s="12"/>
      <c r="B573" s="13"/>
      <c r="C573" s="13"/>
      <c r="D573" s="13"/>
      <c r="E573" s="7" t="str">
        <f aca="false">IF(D573="","",IFERROR(INDEX(Materiali!$B:$B,MATCH(D573,Materiali!$A:$A,0)),"codice?"))</f>
        <v/>
      </c>
      <c r="F573" s="13"/>
      <c r="G573" s="13"/>
      <c r="H573" s="9" t="str">
        <f aca="false">IF(D573="","",IFERROR(INDEX(Materiali!$C:$C,MATCH(D573,Materiali!$A:$A,0)),0))</f>
        <v/>
      </c>
      <c r="I573" s="9" t="str">
        <f aca="false">IF(OR(G573="",H573=""),"",IF(F573="Uscita",-1,1)*G573*H573)</f>
        <v/>
      </c>
      <c r="J573" s="13"/>
      <c r="K573" s="13"/>
    </row>
    <row r="574" customFormat="false" ht="15" hidden="false" customHeight="false" outlineLevel="0" collapsed="false">
      <c r="A574" s="12"/>
      <c r="B574" s="13"/>
      <c r="C574" s="13"/>
      <c r="D574" s="13"/>
      <c r="E574" s="7" t="str">
        <f aca="false">IF(D574="","",IFERROR(INDEX(Materiali!$B:$B,MATCH(D574,Materiali!$A:$A,0)),"codice?"))</f>
        <v/>
      </c>
      <c r="F574" s="13"/>
      <c r="G574" s="13"/>
      <c r="H574" s="9" t="str">
        <f aca="false">IF(D574="","",IFERROR(INDEX(Materiali!$C:$C,MATCH(D574,Materiali!$A:$A,0)),0))</f>
        <v/>
      </c>
      <c r="I574" s="9" t="str">
        <f aca="false">IF(OR(G574="",H574=""),"",IF(F574="Uscita",-1,1)*G574*H574)</f>
        <v/>
      </c>
      <c r="J574" s="13"/>
      <c r="K574" s="13"/>
    </row>
    <row r="575" customFormat="false" ht="15" hidden="false" customHeight="false" outlineLevel="0" collapsed="false">
      <c r="A575" s="12"/>
      <c r="B575" s="13"/>
      <c r="C575" s="13"/>
      <c r="D575" s="13"/>
      <c r="E575" s="7" t="str">
        <f aca="false">IF(D575="","",IFERROR(INDEX(Materiali!$B:$B,MATCH(D575,Materiali!$A:$A,0)),"codice?"))</f>
        <v/>
      </c>
      <c r="F575" s="13"/>
      <c r="G575" s="13"/>
      <c r="H575" s="9" t="str">
        <f aca="false">IF(D575="","",IFERROR(INDEX(Materiali!$C:$C,MATCH(D575,Materiali!$A:$A,0)),0))</f>
        <v/>
      </c>
      <c r="I575" s="9" t="str">
        <f aca="false">IF(OR(G575="",H575=""),"",IF(F575="Uscita",-1,1)*G575*H575)</f>
        <v/>
      </c>
      <c r="J575" s="13"/>
      <c r="K575" s="13"/>
    </row>
    <row r="576" customFormat="false" ht="15" hidden="false" customHeight="false" outlineLevel="0" collapsed="false">
      <c r="A576" s="12"/>
      <c r="B576" s="13"/>
      <c r="C576" s="13"/>
      <c r="D576" s="13"/>
      <c r="E576" s="7" t="str">
        <f aca="false">IF(D576="","",IFERROR(INDEX(Materiali!$B:$B,MATCH(D576,Materiali!$A:$A,0)),"codice?"))</f>
        <v/>
      </c>
      <c r="F576" s="13"/>
      <c r="G576" s="13"/>
      <c r="H576" s="9" t="str">
        <f aca="false">IF(D576="","",IFERROR(INDEX(Materiali!$C:$C,MATCH(D576,Materiali!$A:$A,0)),0))</f>
        <v/>
      </c>
      <c r="I576" s="9" t="str">
        <f aca="false">IF(OR(G576="",H576=""),"",IF(F576="Uscita",-1,1)*G576*H576)</f>
        <v/>
      </c>
      <c r="J576" s="13"/>
      <c r="K576" s="13"/>
    </row>
    <row r="577" customFormat="false" ht="15" hidden="false" customHeight="false" outlineLevel="0" collapsed="false">
      <c r="A577" s="12"/>
      <c r="B577" s="13"/>
      <c r="C577" s="13"/>
      <c r="D577" s="13"/>
      <c r="E577" s="7" t="str">
        <f aca="false">IF(D577="","",IFERROR(INDEX(Materiali!$B:$B,MATCH(D577,Materiali!$A:$A,0)),"codice?"))</f>
        <v/>
      </c>
      <c r="F577" s="13"/>
      <c r="G577" s="13"/>
      <c r="H577" s="9" t="str">
        <f aca="false">IF(D577="","",IFERROR(INDEX(Materiali!$C:$C,MATCH(D577,Materiali!$A:$A,0)),0))</f>
        <v/>
      </c>
      <c r="I577" s="9" t="str">
        <f aca="false">IF(OR(G577="",H577=""),"",IF(F577="Uscita",-1,1)*G577*H577)</f>
        <v/>
      </c>
      <c r="J577" s="13"/>
      <c r="K577" s="13"/>
    </row>
    <row r="578" customFormat="false" ht="15" hidden="false" customHeight="false" outlineLevel="0" collapsed="false">
      <c r="A578" s="12"/>
      <c r="B578" s="13"/>
      <c r="C578" s="13"/>
      <c r="D578" s="13"/>
      <c r="E578" s="7" t="str">
        <f aca="false">IF(D578="","",IFERROR(INDEX(Materiali!$B:$B,MATCH(D578,Materiali!$A:$A,0)),"codice?"))</f>
        <v/>
      </c>
      <c r="F578" s="13"/>
      <c r="G578" s="13"/>
      <c r="H578" s="9" t="str">
        <f aca="false">IF(D578="","",IFERROR(INDEX(Materiali!$C:$C,MATCH(D578,Materiali!$A:$A,0)),0))</f>
        <v/>
      </c>
      <c r="I578" s="9" t="str">
        <f aca="false">IF(OR(G578="",H578=""),"",IF(F578="Uscita",-1,1)*G578*H578)</f>
        <v/>
      </c>
      <c r="J578" s="13"/>
      <c r="K578" s="13"/>
    </row>
    <row r="579" customFormat="false" ht="15" hidden="false" customHeight="false" outlineLevel="0" collapsed="false">
      <c r="A579" s="12"/>
      <c r="B579" s="13"/>
      <c r="C579" s="13"/>
      <c r="D579" s="13"/>
      <c r="E579" s="7" t="str">
        <f aca="false">IF(D579="","",IFERROR(INDEX(Materiali!$B:$B,MATCH(D579,Materiali!$A:$A,0)),"codice?"))</f>
        <v/>
      </c>
      <c r="F579" s="13"/>
      <c r="G579" s="13"/>
      <c r="H579" s="9" t="str">
        <f aca="false">IF(D579="","",IFERROR(INDEX(Materiali!$C:$C,MATCH(D579,Materiali!$A:$A,0)),0))</f>
        <v/>
      </c>
      <c r="I579" s="9" t="str">
        <f aca="false">IF(OR(G579="",H579=""),"",IF(F579="Uscita",-1,1)*G579*H579)</f>
        <v/>
      </c>
      <c r="J579" s="13"/>
      <c r="K579" s="13"/>
    </row>
    <row r="580" customFormat="false" ht="15" hidden="false" customHeight="false" outlineLevel="0" collapsed="false">
      <c r="A580" s="12"/>
      <c r="B580" s="13"/>
      <c r="C580" s="13"/>
      <c r="D580" s="13"/>
      <c r="E580" s="7" t="str">
        <f aca="false">IF(D580="","",IFERROR(INDEX(Materiali!$B:$B,MATCH(D580,Materiali!$A:$A,0)),"codice?"))</f>
        <v/>
      </c>
      <c r="F580" s="13"/>
      <c r="G580" s="13"/>
      <c r="H580" s="9" t="str">
        <f aca="false">IF(D580="","",IFERROR(INDEX(Materiali!$C:$C,MATCH(D580,Materiali!$A:$A,0)),0))</f>
        <v/>
      </c>
      <c r="I580" s="9" t="str">
        <f aca="false">IF(OR(G580="",H580=""),"",IF(F580="Uscita",-1,1)*G580*H580)</f>
        <v/>
      </c>
      <c r="J580" s="13"/>
      <c r="K580" s="13"/>
    </row>
    <row r="581" customFormat="false" ht="15" hidden="false" customHeight="false" outlineLevel="0" collapsed="false">
      <c r="A581" s="12"/>
      <c r="B581" s="13"/>
      <c r="C581" s="13"/>
      <c r="D581" s="13"/>
      <c r="E581" s="7" t="str">
        <f aca="false">IF(D581="","",IFERROR(INDEX(Materiali!$B:$B,MATCH(D581,Materiali!$A:$A,0)),"codice?"))</f>
        <v/>
      </c>
      <c r="F581" s="13"/>
      <c r="G581" s="13"/>
      <c r="H581" s="9" t="str">
        <f aca="false">IF(D581="","",IFERROR(INDEX(Materiali!$C:$C,MATCH(D581,Materiali!$A:$A,0)),0))</f>
        <v/>
      </c>
      <c r="I581" s="9" t="str">
        <f aca="false">IF(OR(G581="",H581=""),"",IF(F581="Uscita",-1,1)*G581*H581)</f>
        <v/>
      </c>
      <c r="J581" s="13"/>
      <c r="K581" s="13"/>
    </row>
    <row r="582" customFormat="false" ht="15" hidden="false" customHeight="false" outlineLevel="0" collapsed="false">
      <c r="A582" s="12"/>
      <c r="B582" s="13"/>
      <c r="C582" s="13"/>
      <c r="D582" s="13"/>
      <c r="E582" s="7" t="str">
        <f aca="false">IF(D582="","",IFERROR(INDEX(Materiali!$B:$B,MATCH(D582,Materiali!$A:$A,0)),"codice?"))</f>
        <v/>
      </c>
      <c r="F582" s="13"/>
      <c r="G582" s="13"/>
      <c r="H582" s="9" t="str">
        <f aca="false">IF(D582="","",IFERROR(INDEX(Materiali!$C:$C,MATCH(D582,Materiali!$A:$A,0)),0))</f>
        <v/>
      </c>
      <c r="I582" s="9" t="str">
        <f aca="false">IF(OR(G582="",H582=""),"",IF(F582="Uscita",-1,1)*G582*H582)</f>
        <v/>
      </c>
      <c r="J582" s="13"/>
      <c r="K582" s="13"/>
    </row>
    <row r="583" customFormat="false" ht="15" hidden="false" customHeight="false" outlineLevel="0" collapsed="false">
      <c r="A583" s="12"/>
      <c r="B583" s="13"/>
      <c r="C583" s="13"/>
      <c r="D583" s="13"/>
      <c r="E583" s="7" t="str">
        <f aca="false">IF(D583="","",IFERROR(INDEX(Materiali!$B:$B,MATCH(D583,Materiali!$A:$A,0)),"codice?"))</f>
        <v/>
      </c>
      <c r="F583" s="13"/>
      <c r="G583" s="13"/>
      <c r="H583" s="9" t="str">
        <f aca="false">IF(D583="","",IFERROR(INDEX(Materiali!$C:$C,MATCH(D583,Materiali!$A:$A,0)),0))</f>
        <v/>
      </c>
      <c r="I583" s="9" t="str">
        <f aca="false">IF(OR(G583="",H583=""),"",IF(F583="Uscita",-1,1)*G583*H583)</f>
        <v/>
      </c>
      <c r="J583" s="13"/>
      <c r="K583" s="13"/>
    </row>
    <row r="584" customFormat="false" ht="15" hidden="false" customHeight="false" outlineLevel="0" collapsed="false">
      <c r="A584" s="12"/>
      <c r="B584" s="13"/>
      <c r="C584" s="13"/>
      <c r="D584" s="13"/>
      <c r="E584" s="7" t="str">
        <f aca="false">IF(D584="","",IFERROR(INDEX(Materiali!$B:$B,MATCH(D584,Materiali!$A:$A,0)),"codice?"))</f>
        <v/>
      </c>
      <c r="F584" s="13"/>
      <c r="G584" s="13"/>
      <c r="H584" s="9" t="str">
        <f aca="false">IF(D584="","",IFERROR(INDEX(Materiali!$C:$C,MATCH(D584,Materiali!$A:$A,0)),0))</f>
        <v/>
      </c>
      <c r="I584" s="9" t="str">
        <f aca="false">IF(OR(G584="",H584=""),"",IF(F584="Uscita",-1,1)*G584*H584)</f>
        <v/>
      </c>
      <c r="J584" s="13"/>
      <c r="K584" s="13"/>
    </row>
    <row r="585" customFormat="false" ht="15" hidden="false" customHeight="false" outlineLevel="0" collapsed="false">
      <c r="A585" s="12"/>
      <c r="B585" s="13"/>
      <c r="C585" s="13"/>
      <c r="D585" s="13"/>
      <c r="E585" s="7" t="str">
        <f aca="false">IF(D585="","",IFERROR(INDEX(Materiali!$B:$B,MATCH(D585,Materiali!$A:$A,0)),"codice?"))</f>
        <v/>
      </c>
      <c r="F585" s="13"/>
      <c r="G585" s="13"/>
      <c r="H585" s="9" t="str">
        <f aca="false">IF(D585="","",IFERROR(INDEX(Materiali!$C:$C,MATCH(D585,Materiali!$A:$A,0)),0))</f>
        <v/>
      </c>
      <c r="I585" s="9" t="str">
        <f aca="false">IF(OR(G585="",H585=""),"",IF(F585="Uscita",-1,1)*G585*H585)</f>
        <v/>
      </c>
      <c r="J585" s="13"/>
      <c r="K585" s="13"/>
    </row>
    <row r="586" customFormat="false" ht="15" hidden="false" customHeight="false" outlineLevel="0" collapsed="false">
      <c r="A586" s="12"/>
      <c r="B586" s="13"/>
      <c r="C586" s="13"/>
      <c r="D586" s="13"/>
      <c r="E586" s="7" t="str">
        <f aca="false">IF(D586="","",IFERROR(INDEX(Materiali!$B:$B,MATCH(D586,Materiali!$A:$A,0)),"codice?"))</f>
        <v/>
      </c>
      <c r="F586" s="13"/>
      <c r="G586" s="13"/>
      <c r="H586" s="9" t="str">
        <f aca="false">IF(D586="","",IFERROR(INDEX(Materiali!$C:$C,MATCH(D586,Materiali!$A:$A,0)),0))</f>
        <v/>
      </c>
      <c r="I586" s="9" t="str">
        <f aca="false">IF(OR(G586="",H586=""),"",IF(F586="Uscita",-1,1)*G586*H586)</f>
        <v/>
      </c>
      <c r="J586" s="13"/>
      <c r="K586" s="13"/>
    </row>
    <row r="587" customFormat="false" ht="15" hidden="false" customHeight="false" outlineLevel="0" collapsed="false">
      <c r="A587" s="12"/>
      <c r="B587" s="13"/>
      <c r="C587" s="13"/>
      <c r="D587" s="13"/>
      <c r="E587" s="7" t="str">
        <f aca="false">IF(D587="","",IFERROR(INDEX(Materiali!$B:$B,MATCH(D587,Materiali!$A:$A,0)),"codice?"))</f>
        <v/>
      </c>
      <c r="F587" s="13"/>
      <c r="G587" s="13"/>
      <c r="H587" s="9" t="str">
        <f aca="false">IF(D587="","",IFERROR(INDEX(Materiali!$C:$C,MATCH(D587,Materiali!$A:$A,0)),0))</f>
        <v/>
      </c>
      <c r="I587" s="9" t="str">
        <f aca="false">IF(OR(G587="",H587=""),"",IF(F587="Uscita",-1,1)*G587*H587)</f>
        <v/>
      </c>
      <c r="J587" s="13"/>
      <c r="K587" s="13"/>
    </row>
    <row r="588" customFormat="false" ht="15" hidden="false" customHeight="false" outlineLevel="0" collapsed="false">
      <c r="A588" s="12"/>
      <c r="B588" s="13"/>
      <c r="C588" s="13"/>
      <c r="D588" s="13"/>
      <c r="E588" s="7" t="str">
        <f aca="false">IF(D588="","",IFERROR(INDEX(Materiali!$B:$B,MATCH(D588,Materiali!$A:$A,0)),"codice?"))</f>
        <v/>
      </c>
      <c r="F588" s="13"/>
      <c r="G588" s="13"/>
      <c r="H588" s="9" t="str">
        <f aca="false">IF(D588="","",IFERROR(INDEX(Materiali!$C:$C,MATCH(D588,Materiali!$A:$A,0)),0))</f>
        <v/>
      </c>
      <c r="I588" s="9" t="str">
        <f aca="false">IF(OR(G588="",H588=""),"",IF(F588="Uscita",-1,1)*G588*H588)</f>
        <v/>
      </c>
      <c r="J588" s="13"/>
      <c r="K588" s="13"/>
    </row>
    <row r="589" customFormat="false" ht="15" hidden="false" customHeight="false" outlineLevel="0" collapsed="false">
      <c r="A589" s="12"/>
      <c r="B589" s="13"/>
      <c r="C589" s="13"/>
      <c r="D589" s="13"/>
      <c r="E589" s="7" t="str">
        <f aca="false">IF(D589="","",IFERROR(INDEX(Materiali!$B:$B,MATCH(D589,Materiali!$A:$A,0)),"codice?"))</f>
        <v/>
      </c>
      <c r="F589" s="13"/>
      <c r="G589" s="13"/>
      <c r="H589" s="9" t="str">
        <f aca="false">IF(D589="","",IFERROR(INDEX(Materiali!$C:$C,MATCH(D589,Materiali!$A:$A,0)),0))</f>
        <v/>
      </c>
      <c r="I589" s="9" t="str">
        <f aca="false">IF(OR(G589="",H589=""),"",IF(F589="Uscita",-1,1)*G589*H589)</f>
        <v/>
      </c>
      <c r="J589" s="13"/>
      <c r="K589" s="13"/>
    </row>
    <row r="590" customFormat="false" ht="15" hidden="false" customHeight="false" outlineLevel="0" collapsed="false">
      <c r="A590" s="12"/>
      <c r="B590" s="13"/>
      <c r="C590" s="13"/>
      <c r="D590" s="13"/>
      <c r="E590" s="7" t="str">
        <f aca="false">IF(D590="","",IFERROR(INDEX(Materiali!$B:$B,MATCH(D590,Materiali!$A:$A,0)),"codice?"))</f>
        <v/>
      </c>
      <c r="F590" s="13"/>
      <c r="G590" s="13"/>
      <c r="H590" s="9" t="str">
        <f aca="false">IF(D590="","",IFERROR(INDEX(Materiali!$C:$C,MATCH(D590,Materiali!$A:$A,0)),0))</f>
        <v/>
      </c>
      <c r="I590" s="9" t="str">
        <f aca="false">IF(OR(G590="",H590=""),"",IF(F590="Uscita",-1,1)*G590*H590)</f>
        <v/>
      </c>
      <c r="J590" s="13"/>
      <c r="K590" s="13"/>
    </row>
    <row r="591" customFormat="false" ht="15" hidden="false" customHeight="false" outlineLevel="0" collapsed="false">
      <c r="A591" s="12"/>
      <c r="B591" s="13"/>
      <c r="C591" s="13"/>
      <c r="D591" s="13"/>
      <c r="E591" s="7" t="str">
        <f aca="false">IF(D591="","",IFERROR(INDEX(Materiali!$B:$B,MATCH(D591,Materiali!$A:$A,0)),"codice?"))</f>
        <v/>
      </c>
      <c r="F591" s="13"/>
      <c r="G591" s="13"/>
      <c r="H591" s="9" t="str">
        <f aca="false">IF(D591="","",IFERROR(INDEX(Materiali!$C:$C,MATCH(D591,Materiali!$A:$A,0)),0))</f>
        <v/>
      </c>
      <c r="I591" s="9" t="str">
        <f aca="false">IF(OR(G591="",H591=""),"",IF(F591="Uscita",-1,1)*G591*H591)</f>
        <v/>
      </c>
      <c r="J591" s="13"/>
      <c r="K591" s="13"/>
    </row>
    <row r="592" customFormat="false" ht="15" hidden="false" customHeight="false" outlineLevel="0" collapsed="false">
      <c r="A592" s="12"/>
      <c r="B592" s="13"/>
      <c r="C592" s="13"/>
      <c r="D592" s="13"/>
      <c r="E592" s="7" t="str">
        <f aca="false">IF(D592="","",IFERROR(INDEX(Materiali!$B:$B,MATCH(D592,Materiali!$A:$A,0)),"codice?"))</f>
        <v/>
      </c>
      <c r="F592" s="13"/>
      <c r="G592" s="13"/>
      <c r="H592" s="9" t="str">
        <f aca="false">IF(D592="","",IFERROR(INDEX(Materiali!$C:$C,MATCH(D592,Materiali!$A:$A,0)),0))</f>
        <v/>
      </c>
      <c r="I592" s="9" t="str">
        <f aca="false">IF(OR(G592="",H592=""),"",IF(F592="Uscita",-1,1)*G592*H592)</f>
        <v/>
      </c>
      <c r="J592" s="13"/>
      <c r="K592" s="13"/>
    </row>
    <row r="593" customFormat="false" ht="15" hidden="false" customHeight="false" outlineLevel="0" collapsed="false">
      <c r="A593" s="12"/>
      <c r="B593" s="13"/>
      <c r="C593" s="13"/>
      <c r="D593" s="13"/>
      <c r="E593" s="7" t="str">
        <f aca="false">IF(D593="","",IFERROR(INDEX(Materiali!$B:$B,MATCH(D593,Materiali!$A:$A,0)),"codice?"))</f>
        <v/>
      </c>
      <c r="F593" s="13"/>
      <c r="G593" s="13"/>
      <c r="H593" s="9" t="str">
        <f aca="false">IF(D593="","",IFERROR(INDEX(Materiali!$C:$C,MATCH(D593,Materiali!$A:$A,0)),0))</f>
        <v/>
      </c>
      <c r="I593" s="9" t="str">
        <f aca="false">IF(OR(G593="",H593=""),"",IF(F593="Uscita",-1,1)*G593*H593)</f>
        <v/>
      </c>
      <c r="J593" s="13"/>
      <c r="K593" s="13"/>
    </row>
    <row r="594" customFormat="false" ht="15" hidden="false" customHeight="false" outlineLevel="0" collapsed="false">
      <c r="A594" s="12"/>
      <c r="B594" s="13"/>
      <c r="C594" s="13"/>
      <c r="D594" s="13"/>
      <c r="E594" s="7" t="str">
        <f aca="false">IF(D594="","",IFERROR(INDEX(Materiali!$B:$B,MATCH(D594,Materiali!$A:$A,0)),"codice?"))</f>
        <v/>
      </c>
      <c r="F594" s="13"/>
      <c r="G594" s="13"/>
      <c r="H594" s="9" t="str">
        <f aca="false">IF(D594="","",IFERROR(INDEX(Materiali!$C:$C,MATCH(D594,Materiali!$A:$A,0)),0))</f>
        <v/>
      </c>
      <c r="I594" s="9" t="str">
        <f aca="false">IF(OR(G594="",H594=""),"",IF(F594="Uscita",-1,1)*G594*H594)</f>
        <v/>
      </c>
      <c r="J594" s="13"/>
      <c r="K594" s="13"/>
    </row>
    <row r="595" customFormat="false" ht="15" hidden="false" customHeight="false" outlineLevel="0" collapsed="false">
      <c r="A595" s="12"/>
      <c r="B595" s="13"/>
      <c r="C595" s="13"/>
      <c r="D595" s="13"/>
      <c r="E595" s="7" t="str">
        <f aca="false">IF(D595="","",IFERROR(INDEX(Materiali!$B:$B,MATCH(D595,Materiali!$A:$A,0)),"codice?"))</f>
        <v/>
      </c>
      <c r="F595" s="13"/>
      <c r="G595" s="13"/>
      <c r="H595" s="9" t="str">
        <f aca="false">IF(D595="","",IFERROR(INDEX(Materiali!$C:$C,MATCH(D595,Materiali!$A:$A,0)),0))</f>
        <v/>
      </c>
      <c r="I595" s="9" t="str">
        <f aca="false">IF(OR(G595="",H595=""),"",IF(F595="Uscita",-1,1)*G595*H595)</f>
        <v/>
      </c>
      <c r="J595" s="13"/>
      <c r="K595" s="13"/>
    </row>
    <row r="596" customFormat="false" ht="15" hidden="false" customHeight="false" outlineLevel="0" collapsed="false">
      <c r="A596" s="12"/>
      <c r="B596" s="13"/>
      <c r="C596" s="13"/>
      <c r="D596" s="13"/>
      <c r="E596" s="7" t="str">
        <f aca="false">IF(D596="","",IFERROR(INDEX(Materiali!$B:$B,MATCH(D596,Materiali!$A:$A,0)),"codice?"))</f>
        <v/>
      </c>
      <c r="F596" s="13"/>
      <c r="G596" s="13"/>
      <c r="H596" s="9" t="str">
        <f aca="false">IF(D596="","",IFERROR(INDEX(Materiali!$C:$C,MATCH(D596,Materiali!$A:$A,0)),0))</f>
        <v/>
      </c>
      <c r="I596" s="9" t="str">
        <f aca="false">IF(OR(G596="",H596=""),"",IF(F596="Uscita",-1,1)*G596*H596)</f>
        <v/>
      </c>
      <c r="J596" s="13"/>
      <c r="K596" s="13"/>
    </row>
    <row r="597" customFormat="false" ht="15" hidden="false" customHeight="false" outlineLevel="0" collapsed="false">
      <c r="A597" s="12"/>
      <c r="B597" s="13"/>
      <c r="C597" s="13"/>
      <c r="D597" s="13"/>
      <c r="E597" s="7" t="str">
        <f aca="false">IF(D597="","",IFERROR(INDEX(Materiali!$B:$B,MATCH(D597,Materiali!$A:$A,0)),"codice?"))</f>
        <v/>
      </c>
      <c r="F597" s="13"/>
      <c r="G597" s="13"/>
      <c r="H597" s="9" t="str">
        <f aca="false">IF(D597="","",IFERROR(INDEX(Materiali!$C:$C,MATCH(D597,Materiali!$A:$A,0)),0))</f>
        <v/>
      </c>
      <c r="I597" s="9" t="str">
        <f aca="false">IF(OR(G597="",H597=""),"",IF(F597="Uscita",-1,1)*G597*H597)</f>
        <v/>
      </c>
      <c r="J597" s="13"/>
      <c r="K597" s="13"/>
    </row>
    <row r="598" customFormat="false" ht="15" hidden="false" customHeight="false" outlineLevel="0" collapsed="false">
      <c r="A598" s="12"/>
      <c r="B598" s="13"/>
      <c r="C598" s="13"/>
      <c r="D598" s="13"/>
      <c r="E598" s="7" t="str">
        <f aca="false">IF(D598="","",IFERROR(INDEX(Materiali!$B:$B,MATCH(D598,Materiali!$A:$A,0)),"codice?"))</f>
        <v/>
      </c>
      <c r="F598" s="13"/>
      <c r="G598" s="13"/>
      <c r="H598" s="9" t="str">
        <f aca="false">IF(D598="","",IFERROR(INDEX(Materiali!$C:$C,MATCH(D598,Materiali!$A:$A,0)),0))</f>
        <v/>
      </c>
      <c r="I598" s="9" t="str">
        <f aca="false">IF(OR(G598="",H598=""),"",IF(F598="Uscita",-1,1)*G598*H598)</f>
        <v/>
      </c>
      <c r="J598" s="13"/>
      <c r="K598" s="13"/>
    </row>
    <row r="599" customFormat="false" ht="15" hidden="false" customHeight="false" outlineLevel="0" collapsed="false">
      <c r="A599" s="12"/>
      <c r="B599" s="13"/>
      <c r="C599" s="13"/>
      <c r="D599" s="13"/>
      <c r="E599" s="7" t="str">
        <f aca="false">IF(D599="","",IFERROR(INDEX(Materiali!$B:$B,MATCH(D599,Materiali!$A:$A,0)),"codice?"))</f>
        <v/>
      </c>
      <c r="F599" s="13"/>
      <c r="G599" s="13"/>
      <c r="H599" s="9" t="str">
        <f aca="false">IF(D599="","",IFERROR(INDEX(Materiali!$C:$C,MATCH(D599,Materiali!$A:$A,0)),0))</f>
        <v/>
      </c>
      <c r="I599" s="9" t="str">
        <f aca="false">IF(OR(G599="",H599=""),"",IF(F599="Uscita",-1,1)*G599*H599)</f>
        <v/>
      </c>
      <c r="J599" s="13"/>
      <c r="K599" s="13"/>
    </row>
    <row r="600" customFormat="false" ht="15" hidden="false" customHeight="false" outlineLevel="0" collapsed="false">
      <c r="A600" s="12"/>
      <c r="B600" s="13"/>
      <c r="C600" s="13"/>
      <c r="D600" s="13"/>
      <c r="E600" s="7" t="str">
        <f aca="false">IF(D600="","",IFERROR(INDEX(Materiali!$B:$B,MATCH(D600,Materiali!$A:$A,0)),"codice?"))</f>
        <v/>
      </c>
      <c r="F600" s="13"/>
      <c r="G600" s="13"/>
      <c r="H600" s="9" t="str">
        <f aca="false">IF(D600="","",IFERROR(INDEX(Materiali!$C:$C,MATCH(D600,Materiali!$A:$A,0)),0))</f>
        <v/>
      </c>
      <c r="I600" s="9" t="str">
        <f aca="false">IF(OR(G600="",H600=""),"",IF(F600="Uscita",-1,1)*G600*H600)</f>
        <v/>
      </c>
      <c r="J600" s="13"/>
      <c r="K600" s="13"/>
    </row>
    <row r="601" customFormat="false" ht="15" hidden="false" customHeight="false" outlineLevel="0" collapsed="false">
      <c r="A601" s="12"/>
      <c r="B601" s="13"/>
      <c r="C601" s="13"/>
      <c r="D601" s="13"/>
      <c r="E601" s="7" t="str">
        <f aca="false">IF(D601="","",IFERROR(INDEX(Materiali!$B:$B,MATCH(D601,Materiali!$A:$A,0)),"codice?"))</f>
        <v/>
      </c>
      <c r="F601" s="13"/>
      <c r="G601" s="13"/>
      <c r="H601" s="9" t="str">
        <f aca="false">IF(D601="","",IFERROR(INDEX(Materiali!$C:$C,MATCH(D601,Materiali!$A:$A,0)),0))</f>
        <v/>
      </c>
      <c r="I601" s="9" t="str">
        <f aca="false">IF(OR(G601="",H601=""),"",IF(F601="Uscita",-1,1)*G601*H601)</f>
        <v/>
      </c>
      <c r="J601" s="13"/>
      <c r="K601" s="13"/>
    </row>
    <row r="602" customFormat="false" ht="15" hidden="false" customHeight="false" outlineLevel="0" collapsed="false">
      <c r="A602" s="12"/>
      <c r="B602" s="13"/>
      <c r="C602" s="13"/>
      <c r="D602" s="13"/>
      <c r="E602" s="7" t="str">
        <f aca="false">IF(D602="","",IFERROR(INDEX(Materiali!$B:$B,MATCH(D602,Materiali!$A:$A,0)),"codice?"))</f>
        <v/>
      </c>
      <c r="F602" s="13"/>
      <c r="G602" s="13"/>
      <c r="H602" s="9" t="str">
        <f aca="false">IF(D602="","",IFERROR(INDEX(Materiali!$C:$C,MATCH(D602,Materiali!$A:$A,0)),0))</f>
        <v/>
      </c>
      <c r="I602" s="9" t="str">
        <f aca="false">IF(OR(G602="",H602=""),"",IF(F602="Uscita",-1,1)*G602*H602)</f>
        <v/>
      </c>
      <c r="J602" s="13"/>
      <c r="K602" s="13"/>
    </row>
    <row r="603" customFormat="false" ht="15" hidden="false" customHeight="false" outlineLevel="0" collapsed="false">
      <c r="A603" s="12"/>
      <c r="B603" s="13"/>
      <c r="C603" s="13"/>
      <c r="D603" s="13"/>
      <c r="E603" s="7" t="str">
        <f aca="false">IF(D603="","",IFERROR(INDEX(Materiali!$B:$B,MATCH(D603,Materiali!$A:$A,0)),"codice?"))</f>
        <v/>
      </c>
      <c r="F603" s="13"/>
      <c r="G603" s="13"/>
      <c r="H603" s="9" t="str">
        <f aca="false">IF(D603="","",IFERROR(INDEX(Materiali!$C:$C,MATCH(D603,Materiali!$A:$A,0)),0))</f>
        <v/>
      </c>
      <c r="I603" s="9" t="str">
        <f aca="false">IF(OR(G603="",H603=""),"",IF(F603="Uscita",-1,1)*G603*H603)</f>
        <v/>
      </c>
      <c r="J603" s="13"/>
      <c r="K603" s="13"/>
    </row>
    <row r="604" customFormat="false" ht="15" hidden="false" customHeight="false" outlineLevel="0" collapsed="false">
      <c r="A604" s="12"/>
      <c r="B604" s="13"/>
      <c r="C604" s="13"/>
      <c r="D604" s="13"/>
      <c r="E604" s="7" t="str">
        <f aca="false">IF(D604="","",IFERROR(INDEX(Materiali!$B:$B,MATCH(D604,Materiali!$A:$A,0)),"codice?"))</f>
        <v/>
      </c>
      <c r="F604" s="13"/>
      <c r="G604" s="13"/>
      <c r="H604" s="9" t="str">
        <f aca="false">IF(D604="","",IFERROR(INDEX(Materiali!$C:$C,MATCH(D604,Materiali!$A:$A,0)),0))</f>
        <v/>
      </c>
      <c r="I604" s="9" t="str">
        <f aca="false">IF(OR(G604="",H604=""),"",IF(F604="Uscita",-1,1)*G604*H604)</f>
        <v/>
      </c>
      <c r="J604" s="13"/>
      <c r="K604" s="13"/>
    </row>
    <row r="605" customFormat="false" ht="15" hidden="false" customHeight="false" outlineLevel="0" collapsed="false">
      <c r="A605" s="12"/>
      <c r="B605" s="13"/>
      <c r="C605" s="13"/>
      <c r="D605" s="13"/>
      <c r="E605" s="7" t="str">
        <f aca="false">IF(D605="","",IFERROR(INDEX(Materiali!$B:$B,MATCH(D605,Materiali!$A:$A,0)),"codice?"))</f>
        <v/>
      </c>
      <c r="F605" s="13"/>
      <c r="G605" s="13"/>
      <c r="H605" s="9" t="str">
        <f aca="false">IF(D605="","",IFERROR(INDEX(Materiali!$C:$C,MATCH(D605,Materiali!$A:$A,0)),0))</f>
        <v/>
      </c>
      <c r="I605" s="9" t="str">
        <f aca="false">IF(OR(G605="",H605=""),"",IF(F605="Uscita",-1,1)*G605*H605)</f>
        <v/>
      </c>
      <c r="J605" s="13"/>
      <c r="K605" s="13"/>
    </row>
    <row r="606" customFormat="false" ht="15" hidden="false" customHeight="false" outlineLevel="0" collapsed="false">
      <c r="A606" s="12"/>
      <c r="B606" s="13"/>
      <c r="C606" s="13"/>
      <c r="D606" s="13"/>
      <c r="E606" s="7" t="str">
        <f aca="false">IF(D606="","",IFERROR(INDEX(Materiali!$B:$B,MATCH(D606,Materiali!$A:$A,0)),"codice?"))</f>
        <v/>
      </c>
      <c r="F606" s="13"/>
      <c r="G606" s="13"/>
      <c r="H606" s="9" t="str">
        <f aca="false">IF(D606="","",IFERROR(INDEX(Materiali!$C:$C,MATCH(D606,Materiali!$A:$A,0)),0))</f>
        <v/>
      </c>
      <c r="I606" s="9" t="str">
        <f aca="false">IF(OR(G606="",H606=""),"",IF(F606="Uscita",-1,1)*G606*H606)</f>
        <v/>
      </c>
      <c r="J606" s="13"/>
      <c r="K606" s="13"/>
    </row>
    <row r="607" customFormat="false" ht="15" hidden="false" customHeight="false" outlineLevel="0" collapsed="false">
      <c r="A607" s="12"/>
      <c r="B607" s="13"/>
      <c r="C607" s="13"/>
      <c r="D607" s="13"/>
      <c r="E607" s="7" t="str">
        <f aca="false">IF(D607="","",IFERROR(INDEX(Materiali!$B:$B,MATCH(D607,Materiali!$A:$A,0)),"codice?"))</f>
        <v/>
      </c>
      <c r="F607" s="13"/>
      <c r="G607" s="13"/>
      <c r="H607" s="9" t="str">
        <f aca="false">IF(D607="","",IFERROR(INDEX(Materiali!$C:$C,MATCH(D607,Materiali!$A:$A,0)),0))</f>
        <v/>
      </c>
      <c r="I607" s="9" t="str">
        <f aca="false">IF(OR(G607="",H607=""),"",IF(F607="Uscita",-1,1)*G607*H607)</f>
        <v/>
      </c>
      <c r="J607" s="13"/>
      <c r="K607" s="13"/>
    </row>
    <row r="608" customFormat="false" ht="15" hidden="false" customHeight="false" outlineLevel="0" collapsed="false">
      <c r="A608" s="12"/>
      <c r="B608" s="13"/>
      <c r="C608" s="13"/>
      <c r="D608" s="13"/>
      <c r="E608" s="7" t="str">
        <f aca="false">IF(D608="","",IFERROR(INDEX(Materiali!$B:$B,MATCH(D608,Materiali!$A:$A,0)),"codice?"))</f>
        <v/>
      </c>
      <c r="F608" s="13"/>
      <c r="G608" s="13"/>
      <c r="H608" s="9" t="str">
        <f aca="false">IF(D608="","",IFERROR(INDEX(Materiali!$C:$C,MATCH(D608,Materiali!$A:$A,0)),0))</f>
        <v/>
      </c>
      <c r="I608" s="9" t="str">
        <f aca="false">IF(OR(G608="",H608=""),"",IF(F608="Uscita",-1,1)*G608*H608)</f>
        <v/>
      </c>
      <c r="J608" s="13"/>
      <c r="K608" s="13"/>
    </row>
    <row r="609" customFormat="false" ht="15" hidden="false" customHeight="false" outlineLevel="0" collapsed="false">
      <c r="A609" s="12"/>
      <c r="B609" s="13"/>
      <c r="C609" s="13"/>
      <c r="D609" s="13"/>
      <c r="E609" s="7" t="str">
        <f aca="false">IF(D609="","",IFERROR(INDEX(Materiali!$B:$B,MATCH(D609,Materiali!$A:$A,0)),"codice?"))</f>
        <v/>
      </c>
      <c r="F609" s="13"/>
      <c r="G609" s="13"/>
      <c r="H609" s="9" t="str">
        <f aca="false">IF(D609="","",IFERROR(INDEX(Materiali!$C:$C,MATCH(D609,Materiali!$A:$A,0)),0))</f>
        <v/>
      </c>
      <c r="I609" s="9" t="str">
        <f aca="false">IF(OR(G609="",H609=""),"",IF(F609="Uscita",-1,1)*G609*H609)</f>
        <v/>
      </c>
      <c r="J609" s="13"/>
      <c r="K609" s="13"/>
    </row>
    <row r="610" customFormat="false" ht="15" hidden="false" customHeight="false" outlineLevel="0" collapsed="false">
      <c r="A610" s="12"/>
      <c r="B610" s="13"/>
      <c r="C610" s="13"/>
      <c r="D610" s="13"/>
      <c r="E610" s="7" t="str">
        <f aca="false">IF(D610="","",IFERROR(INDEX(Materiali!$B:$B,MATCH(D610,Materiali!$A:$A,0)),"codice?"))</f>
        <v/>
      </c>
      <c r="F610" s="13"/>
      <c r="G610" s="13"/>
      <c r="H610" s="9" t="str">
        <f aca="false">IF(D610="","",IFERROR(INDEX(Materiali!$C:$C,MATCH(D610,Materiali!$A:$A,0)),0))</f>
        <v/>
      </c>
      <c r="I610" s="9" t="str">
        <f aca="false">IF(OR(G610="",H610=""),"",IF(F610="Uscita",-1,1)*G610*H610)</f>
        <v/>
      </c>
      <c r="J610" s="13"/>
      <c r="K610" s="13"/>
    </row>
    <row r="611" customFormat="false" ht="15" hidden="false" customHeight="false" outlineLevel="0" collapsed="false">
      <c r="A611" s="12"/>
      <c r="B611" s="13"/>
      <c r="C611" s="13"/>
      <c r="D611" s="13"/>
      <c r="E611" s="7" t="str">
        <f aca="false">IF(D611="","",IFERROR(INDEX(Materiali!$B:$B,MATCH(D611,Materiali!$A:$A,0)),"codice?"))</f>
        <v/>
      </c>
      <c r="F611" s="13"/>
      <c r="G611" s="13"/>
      <c r="H611" s="9" t="str">
        <f aca="false">IF(D611="","",IFERROR(INDEX(Materiali!$C:$C,MATCH(D611,Materiali!$A:$A,0)),0))</f>
        <v/>
      </c>
      <c r="I611" s="9" t="str">
        <f aca="false">IF(OR(G611="",H611=""),"",IF(F611="Uscita",-1,1)*G611*H611)</f>
        <v/>
      </c>
      <c r="J611" s="13"/>
      <c r="K611" s="13"/>
    </row>
    <row r="612" customFormat="false" ht="15" hidden="false" customHeight="false" outlineLevel="0" collapsed="false">
      <c r="A612" s="12"/>
      <c r="B612" s="13"/>
      <c r="C612" s="13"/>
      <c r="D612" s="13"/>
      <c r="E612" s="7" t="str">
        <f aca="false">IF(D612="","",IFERROR(INDEX(Materiali!$B:$B,MATCH(D612,Materiali!$A:$A,0)),"codice?"))</f>
        <v/>
      </c>
      <c r="F612" s="13"/>
      <c r="G612" s="13"/>
      <c r="H612" s="9" t="str">
        <f aca="false">IF(D612="","",IFERROR(INDEX(Materiali!$C:$C,MATCH(D612,Materiali!$A:$A,0)),0))</f>
        <v/>
      </c>
      <c r="I612" s="9" t="str">
        <f aca="false">IF(OR(G612="",H612=""),"",IF(F612="Uscita",-1,1)*G612*H612)</f>
        <v/>
      </c>
      <c r="J612" s="13"/>
      <c r="K612" s="13"/>
    </row>
    <row r="613" customFormat="false" ht="15" hidden="false" customHeight="false" outlineLevel="0" collapsed="false">
      <c r="A613" s="12"/>
      <c r="B613" s="13"/>
      <c r="C613" s="13"/>
      <c r="D613" s="13"/>
      <c r="E613" s="7" t="str">
        <f aca="false">IF(D613="","",IFERROR(INDEX(Materiali!$B:$B,MATCH(D613,Materiali!$A:$A,0)),"codice?"))</f>
        <v/>
      </c>
      <c r="F613" s="13"/>
      <c r="G613" s="13"/>
      <c r="H613" s="9" t="str">
        <f aca="false">IF(D613="","",IFERROR(INDEX(Materiali!$C:$C,MATCH(D613,Materiali!$A:$A,0)),0))</f>
        <v/>
      </c>
      <c r="I613" s="9" t="str">
        <f aca="false">IF(OR(G613="",H613=""),"",IF(F613="Uscita",-1,1)*G613*H613)</f>
        <v/>
      </c>
      <c r="J613" s="13"/>
      <c r="K613" s="13"/>
    </row>
    <row r="614" customFormat="false" ht="15" hidden="false" customHeight="false" outlineLevel="0" collapsed="false">
      <c r="A614" s="12"/>
      <c r="B614" s="13"/>
      <c r="C614" s="13"/>
      <c r="D614" s="13"/>
      <c r="E614" s="7" t="str">
        <f aca="false">IF(D614="","",IFERROR(INDEX(Materiali!$B:$B,MATCH(D614,Materiali!$A:$A,0)),"codice?"))</f>
        <v/>
      </c>
      <c r="F614" s="13"/>
      <c r="G614" s="13"/>
      <c r="H614" s="9" t="str">
        <f aca="false">IF(D614="","",IFERROR(INDEX(Materiali!$C:$C,MATCH(D614,Materiali!$A:$A,0)),0))</f>
        <v/>
      </c>
      <c r="I614" s="9" t="str">
        <f aca="false">IF(OR(G614="",H614=""),"",IF(F614="Uscita",-1,1)*G614*H614)</f>
        <v/>
      </c>
      <c r="J614" s="13"/>
      <c r="K614" s="13"/>
    </row>
    <row r="615" customFormat="false" ht="15" hidden="false" customHeight="false" outlineLevel="0" collapsed="false">
      <c r="A615" s="12"/>
      <c r="B615" s="13"/>
      <c r="C615" s="13"/>
      <c r="D615" s="13"/>
      <c r="E615" s="7" t="str">
        <f aca="false">IF(D615="","",IFERROR(INDEX(Materiali!$B:$B,MATCH(D615,Materiali!$A:$A,0)),"codice?"))</f>
        <v/>
      </c>
      <c r="F615" s="13"/>
      <c r="G615" s="13"/>
      <c r="H615" s="9" t="str">
        <f aca="false">IF(D615="","",IFERROR(INDEX(Materiali!$C:$C,MATCH(D615,Materiali!$A:$A,0)),0))</f>
        <v/>
      </c>
      <c r="I615" s="9" t="str">
        <f aca="false">IF(OR(G615="",H615=""),"",IF(F615="Uscita",-1,1)*G615*H615)</f>
        <v/>
      </c>
      <c r="J615" s="13"/>
      <c r="K615" s="13"/>
    </row>
    <row r="616" customFormat="false" ht="15" hidden="false" customHeight="false" outlineLevel="0" collapsed="false">
      <c r="A616" s="12"/>
      <c r="B616" s="13"/>
      <c r="C616" s="13"/>
      <c r="D616" s="13"/>
      <c r="E616" s="7" t="str">
        <f aca="false">IF(D616="","",IFERROR(INDEX(Materiali!$B:$B,MATCH(D616,Materiali!$A:$A,0)),"codice?"))</f>
        <v/>
      </c>
      <c r="F616" s="13"/>
      <c r="G616" s="13"/>
      <c r="H616" s="9" t="str">
        <f aca="false">IF(D616="","",IFERROR(INDEX(Materiali!$C:$C,MATCH(D616,Materiali!$A:$A,0)),0))</f>
        <v/>
      </c>
      <c r="I616" s="9" t="str">
        <f aca="false">IF(OR(G616="",H616=""),"",IF(F616="Uscita",-1,1)*G616*H616)</f>
        <v/>
      </c>
      <c r="J616" s="13"/>
      <c r="K616" s="13"/>
    </row>
    <row r="617" customFormat="false" ht="15" hidden="false" customHeight="false" outlineLevel="0" collapsed="false">
      <c r="A617" s="12"/>
      <c r="B617" s="13"/>
      <c r="C617" s="13"/>
      <c r="D617" s="13"/>
      <c r="E617" s="7" t="str">
        <f aca="false">IF(D617="","",IFERROR(INDEX(Materiali!$B:$B,MATCH(D617,Materiali!$A:$A,0)),"codice?"))</f>
        <v/>
      </c>
      <c r="F617" s="13"/>
      <c r="G617" s="13"/>
      <c r="H617" s="9" t="str">
        <f aca="false">IF(D617="","",IFERROR(INDEX(Materiali!$C:$C,MATCH(D617,Materiali!$A:$A,0)),0))</f>
        <v/>
      </c>
      <c r="I617" s="9" t="str">
        <f aca="false">IF(OR(G617="",H617=""),"",IF(F617="Uscita",-1,1)*G617*H617)</f>
        <v/>
      </c>
      <c r="J617" s="13"/>
      <c r="K617" s="13"/>
    </row>
    <row r="618" customFormat="false" ht="15" hidden="false" customHeight="false" outlineLevel="0" collapsed="false">
      <c r="A618" s="12"/>
      <c r="B618" s="13"/>
      <c r="C618" s="13"/>
      <c r="D618" s="13"/>
      <c r="E618" s="7" t="str">
        <f aca="false">IF(D618="","",IFERROR(INDEX(Materiali!$B:$B,MATCH(D618,Materiali!$A:$A,0)),"codice?"))</f>
        <v/>
      </c>
      <c r="F618" s="13"/>
      <c r="G618" s="13"/>
      <c r="H618" s="9" t="str">
        <f aca="false">IF(D618="","",IFERROR(INDEX(Materiali!$C:$C,MATCH(D618,Materiali!$A:$A,0)),0))</f>
        <v/>
      </c>
      <c r="I618" s="9" t="str">
        <f aca="false">IF(OR(G618="",H618=""),"",IF(F618="Uscita",-1,1)*G618*H618)</f>
        <v/>
      </c>
      <c r="J618" s="13"/>
      <c r="K618" s="13"/>
    </row>
    <row r="619" customFormat="false" ht="15" hidden="false" customHeight="false" outlineLevel="0" collapsed="false">
      <c r="A619" s="12"/>
      <c r="B619" s="13"/>
      <c r="C619" s="13"/>
      <c r="D619" s="13"/>
      <c r="E619" s="7" t="str">
        <f aca="false">IF(D619="","",IFERROR(INDEX(Materiali!$B:$B,MATCH(D619,Materiali!$A:$A,0)),"codice?"))</f>
        <v/>
      </c>
      <c r="F619" s="13"/>
      <c r="G619" s="13"/>
      <c r="H619" s="9" t="str">
        <f aca="false">IF(D619="","",IFERROR(INDEX(Materiali!$C:$C,MATCH(D619,Materiali!$A:$A,0)),0))</f>
        <v/>
      </c>
      <c r="I619" s="9" t="str">
        <f aca="false">IF(OR(G619="",H619=""),"",IF(F619="Uscita",-1,1)*G619*H619)</f>
        <v/>
      </c>
      <c r="J619" s="13"/>
      <c r="K619" s="13"/>
    </row>
    <row r="620" customFormat="false" ht="15" hidden="false" customHeight="false" outlineLevel="0" collapsed="false">
      <c r="A620" s="12"/>
      <c r="B620" s="13"/>
      <c r="C620" s="13"/>
      <c r="D620" s="13"/>
      <c r="E620" s="7" t="str">
        <f aca="false">IF(D620="","",IFERROR(INDEX(Materiali!$B:$B,MATCH(D620,Materiali!$A:$A,0)),"codice?"))</f>
        <v/>
      </c>
      <c r="F620" s="13"/>
      <c r="G620" s="13"/>
      <c r="H620" s="9" t="str">
        <f aca="false">IF(D620="","",IFERROR(INDEX(Materiali!$C:$C,MATCH(D620,Materiali!$A:$A,0)),0))</f>
        <v/>
      </c>
      <c r="I620" s="9" t="str">
        <f aca="false">IF(OR(G620="",H620=""),"",IF(F620="Uscita",-1,1)*G620*H620)</f>
        <v/>
      </c>
      <c r="J620" s="13"/>
      <c r="K620" s="13"/>
    </row>
    <row r="621" customFormat="false" ht="15" hidden="false" customHeight="false" outlineLevel="0" collapsed="false">
      <c r="A621" s="12"/>
      <c r="B621" s="13"/>
      <c r="C621" s="13"/>
      <c r="D621" s="13"/>
      <c r="E621" s="7" t="str">
        <f aca="false">IF(D621="","",IFERROR(INDEX(Materiali!$B:$B,MATCH(D621,Materiali!$A:$A,0)),"codice?"))</f>
        <v/>
      </c>
      <c r="F621" s="13"/>
      <c r="G621" s="13"/>
      <c r="H621" s="9" t="str">
        <f aca="false">IF(D621="","",IFERROR(INDEX(Materiali!$C:$C,MATCH(D621,Materiali!$A:$A,0)),0))</f>
        <v/>
      </c>
      <c r="I621" s="9" t="str">
        <f aca="false">IF(OR(G621="",H621=""),"",IF(F621="Uscita",-1,1)*G621*H621)</f>
        <v/>
      </c>
      <c r="J621" s="13"/>
      <c r="K621" s="13"/>
    </row>
    <row r="622" customFormat="false" ht="15" hidden="false" customHeight="false" outlineLevel="0" collapsed="false">
      <c r="A622" s="12"/>
      <c r="B622" s="13"/>
      <c r="C622" s="13"/>
      <c r="D622" s="13"/>
      <c r="E622" s="7" t="str">
        <f aca="false">IF(D622="","",IFERROR(INDEX(Materiali!$B:$B,MATCH(D622,Materiali!$A:$A,0)),"codice?"))</f>
        <v/>
      </c>
      <c r="F622" s="13"/>
      <c r="G622" s="13"/>
      <c r="H622" s="9" t="str">
        <f aca="false">IF(D622="","",IFERROR(INDEX(Materiali!$C:$C,MATCH(D622,Materiali!$A:$A,0)),0))</f>
        <v/>
      </c>
      <c r="I622" s="9" t="str">
        <f aca="false">IF(OR(G622="",H622=""),"",IF(F622="Uscita",-1,1)*G622*H622)</f>
        <v/>
      </c>
      <c r="J622" s="13"/>
      <c r="K622" s="13"/>
    </row>
    <row r="623" customFormat="false" ht="15" hidden="false" customHeight="false" outlineLevel="0" collapsed="false">
      <c r="A623" s="12"/>
      <c r="B623" s="13"/>
      <c r="C623" s="13"/>
      <c r="D623" s="13"/>
      <c r="E623" s="7" t="str">
        <f aca="false">IF(D623="","",IFERROR(INDEX(Materiali!$B:$B,MATCH(D623,Materiali!$A:$A,0)),"codice?"))</f>
        <v/>
      </c>
      <c r="F623" s="13"/>
      <c r="G623" s="13"/>
      <c r="H623" s="9" t="str">
        <f aca="false">IF(D623="","",IFERROR(INDEX(Materiali!$C:$C,MATCH(D623,Materiali!$A:$A,0)),0))</f>
        <v/>
      </c>
      <c r="I623" s="9" t="str">
        <f aca="false">IF(OR(G623="",H623=""),"",IF(F623="Uscita",-1,1)*G623*H623)</f>
        <v/>
      </c>
      <c r="J623" s="13"/>
      <c r="K623" s="13"/>
    </row>
    <row r="624" customFormat="false" ht="15" hidden="false" customHeight="false" outlineLevel="0" collapsed="false">
      <c r="A624" s="12"/>
      <c r="B624" s="13"/>
      <c r="C624" s="13"/>
      <c r="D624" s="13"/>
      <c r="E624" s="7" t="str">
        <f aca="false">IF(D624="","",IFERROR(INDEX(Materiali!$B:$B,MATCH(D624,Materiali!$A:$A,0)),"codice?"))</f>
        <v/>
      </c>
      <c r="F624" s="13"/>
      <c r="G624" s="13"/>
      <c r="H624" s="9" t="str">
        <f aca="false">IF(D624="","",IFERROR(INDEX(Materiali!$C:$C,MATCH(D624,Materiali!$A:$A,0)),0))</f>
        <v/>
      </c>
      <c r="I624" s="9" t="str">
        <f aca="false">IF(OR(G624="",H624=""),"",IF(F624="Uscita",-1,1)*G624*H624)</f>
        <v/>
      </c>
      <c r="J624" s="13"/>
      <c r="K624" s="13"/>
    </row>
    <row r="625" customFormat="false" ht="15" hidden="false" customHeight="false" outlineLevel="0" collapsed="false">
      <c r="A625" s="12"/>
      <c r="B625" s="13"/>
      <c r="C625" s="13"/>
      <c r="D625" s="13"/>
      <c r="E625" s="7" t="str">
        <f aca="false">IF(D625="","",IFERROR(INDEX(Materiali!$B:$B,MATCH(D625,Materiali!$A:$A,0)),"codice?"))</f>
        <v/>
      </c>
      <c r="F625" s="13"/>
      <c r="G625" s="13"/>
      <c r="H625" s="9" t="str">
        <f aca="false">IF(D625="","",IFERROR(INDEX(Materiali!$C:$C,MATCH(D625,Materiali!$A:$A,0)),0))</f>
        <v/>
      </c>
      <c r="I625" s="9" t="str">
        <f aca="false">IF(OR(G625="",H625=""),"",IF(F625="Uscita",-1,1)*G625*H625)</f>
        <v/>
      </c>
      <c r="J625" s="13"/>
      <c r="K625" s="13"/>
    </row>
    <row r="626" customFormat="false" ht="15" hidden="false" customHeight="false" outlineLevel="0" collapsed="false">
      <c r="A626" s="12"/>
      <c r="B626" s="13"/>
      <c r="C626" s="13"/>
      <c r="D626" s="13"/>
      <c r="E626" s="7" t="str">
        <f aca="false">IF(D626="","",IFERROR(INDEX(Materiali!$B:$B,MATCH(D626,Materiali!$A:$A,0)),"codice?"))</f>
        <v/>
      </c>
      <c r="F626" s="13"/>
      <c r="G626" s="13"/>
      <c r="H626" s="9" t="str">
        <f aca="false">IF(D626="","",IFERROR(INDEX(Materiali!$C:$C,MATCH(D626,Materiali!$A:$A,0)),0))</f>
        <v/>
      </c>
      <c r="I626" s="9" t="str">
        <f aca="false">IF(OR(G626="",H626=""),"",IF(F626="Uscita",-1,1)*G626*H626)</f>
        <v/>
      </c>
      <c r="J626" s="13"/>
      <c r="K626" s="13"/>
    </row>
    <row r="627" customFormat="false" ht="15" hidden="false" customHeight="false" outlineLevel="0" collapsed="false">
      <c r="A627" s="12"/>
      <c r="B627" s="13"/>
      <c r="C627" s="13"/>
      <c r="D627" s="13"/>
      <c r="E627" s="7" t="str">
        <f aca="false">IF(D627="","",IFERROR(INDEX(Materiali!$B:$B,MATCH(D627,Materiali!$A:$A,0)),"codice?"))</f>
        <v/>
      </c>
      <c r="F627" s="13"/>
      <c r="G627" s="13"/>
      <c r="H627" s="9" t="str">
        <f aca="false">IF(D627="","",IFERROR(INDEX(Materiali!$C:$C,MATCH(D627,Materiali!$A:$A,0)),0))</f>
        <v/>
      </c>
      <c r="I627" s="9" t="str">
        <f aca="false">IF(OR(G627="",H627=""),"",IF(F627="Uscita",-1,1)*G627*H627)</f>
        <v/>
      </c>
      <c r="J627" s="13"/>
      <c r="K627" s="13"/>
    </row>
    <row r="628" customFormat="false" ht="15" hidden="false" customHeight="false" outlineLevel="0" collapsed="false">
      <c r="A628" s="12"/>
      <c r="B628" s="13"/>
      <c r="C628" s="13"/>
      <c r="D628" s="13"/>
      <c r="E628" s="7" t="str">
        <f aca="false">IF(D628="","",IFERROR(INDEX(Materiali!$B:$B,MATCH(D628,Materiali!$A:$A,0)),"codice?"))</f>
        <v/>
      </c>
      <c r="F628" s="13"/>
      <c r="G628" s="13"/>
      <c r="H628" s="9" t="str">
        <f aca="false">IF(D628="","",IFERROR(INDEX(Materiali!$C:$C,MATCH(D628,Materiali!$A:$A,0)),0))</f>
        <v/>
      </c>
      <c r="I628" s="9" t="str">
        <f aca="false">IF(OR(G628="",H628=""),"",IF(F628="Uscita",-1,1)*G628*H628)</f>
        <v/>
      </c>
      <c r="J628" s="13"/>
      <c r="K628" s="13"/>
    </row>
    <row r="629" customFormat="false" ht="15" hidden="false" customHeight="false" outlineLevel="0" collapsed="false">
      <c r="A629" s="12"/>
      <c r="B629" s="13"/>
      <c r="C629" s="13"/>
      <c r="D629" s="13"/>
      <c r="E629" s="7" t="str">
        <f aca="false">IF(D629="","",IFERROR(INDEX(Materiali!$B:$B,MATCH(D629,Materiali!$A:$A,0)),"codice?"))</f>
        <v/>
      </c>
      <c r="F629" s="13"/>
      <c r="G629" s="13"/>
      <c r="H629" s="9" t="str">
        <f aca="false">IF(D629="","",IFERROR(INDEX(Materiali!$C:$C,MATCH(D629,Materiali!$A:$A,0)),0))</f>
        <v/>
      </c>
      <c r="I629" s="9" t="str">
        <f aca="false">IF(OR(G629="",H629=""),"",IF(F629="Uscita",-1,1)*G629*H629)</f>
        <v/>
      </c>
      <c r="J629" s="13"/>
      <c r="K629" s="13"/>
    </row>
    <row r="630" customFormat="false" ht="15" hidden="false" customHeight="false" outlineLevel="0" collapsed="false">
      <c r="A630" s="12"/>
      <c r="B630" s="13"/>
      <c r="C630" s="13"/>
      <c r="D630" s="13"/>
      <c r="E630" s="7" t="str">
        <f aca="false">IF(D630="","",IFERROR(INDEX(Materiali!$B:$B,MATCH(D630,Materiali!$A:$A,0)),"codice?"))</f>
        <v/>
      </c>
      <c r="F630" s="13"/>
      <c r="G630" s="13"/>
      <c r="H630" s="9" t="str">
        <f aca="false">IF(D630="","",IFERROR(INDEX(Materiali!$C:$C,MATCH(D630,Materiali!$A:$A,0)),0))</f>
        <v/>
      </c>
      <c r="I630" s="9" t="str">
        <f aca="false">IF(OR(G630="",H630=""),"",IF(F630="Uscita",-1,1)*G630*H630)</f>
        <v/>
      </c>
      <c r="J630" s="13"/>
      <c r="K630" s="13"/>
    </row>
    <row r="631" customFormat="false" ht="15" hidden="false" customHeight="false" outlineLevel="0" collapsed="false">
      <c r="A631" s="12"/>
      <c r="B631" s="13"/>
      <c r="C631" s="13"/>
      <c r="D631" s="13"/>
      <c r="E631" s="7" t="str">
        <f aca="false">IF(D631="","",IFERROR(INDEX(Materiali!$B:$B,MATCH(D631,Materiali!$A:$A,0)),"codice?"))</f>
        <v/>
      </c>
      <c r="F631" s="13"/>
      <c r="G631" s="13"/>
      <c r="H631" s="9" t="str">
        <f aca="false">IF(D631="","",IFERROR(INDEX(Materiali!$C:$C,MATCH(D631,Materiali!$A:$A,0)),0))</f>
        <v/>
      </c>
      <c r="I631" s="9" t="str">
        <f aca="false">IF(OR(G631="",H631=""),"",IF(F631="Uscita",-1,1)*G631*H631)</f>
        <v/>
      </c>
      <c r="J631" s="13"/>
      <c r="K631" s="13"/>
    </row>
    <row r="632" customFormat="false" ht="15" hidden="false" customHeight="false" outlineLevel="0" collapsed="false">
      <c r="A632" s="12"/>
      <c r="B632" s="13"/>
      <c r="C632" s="13"/>
      <c r="D632" s="13"/>
      <c r="E632" s="7" t="str">
        <f aca="false">IF(D632="","",IFERROR(INDEX(Materiali!$B:$B,MATCH(D632,Materiali!$A:$A,0)),"codice?"))</f>
        <v/>
      </c>
      <c r="F632" s="13"/>
      <c r="G632" s="13"/>
      <c r="H632" s="9" t="str">
        <f aca="false">IF(D632="","",IFERROR(INDEX(Materiali!$C:$C,MATCH(D632,Materiali!$A:$A,0)),0))</f>
        <v/>
      </c>
      <c r="I632" s="9" t="str">
        <f aca="false">IF(OR(G632="",H632=""),"",IF(F632="Uscita",-1,1)*G632*H632)</f>
        <v/>
      </c>
      <c r="J632" s="13"/>
      <c r="K632" s="13"/>
    </row>
    <row r="633" customFormat="false" ht="15" hidden="false" customHeight="false" outlineLevel="0" collapsed="false">
      <c r="A633" s="12"/>
      <c r="B633" s="13"/>
      <c r="C633" s="13"/>
      <c r="D633" s="13"/>
      <c r="E633" s="7" t="str">
        <f aca="false">IF(D633="","",IFERROR(INDEX(Materiali!$B:$B,MATCH(D633,Materiali!$A:$A,0)),"codice?"))</f>
        <v/>
      </c>
      <c r="F633" s="13"/>
      <c r="G633" s="13"/>
      <c r="H633" s="9" t="str">
        <f aca="false">IF(D633="","",IFERROR(INDEX(Materiali!$C:$C,MATCH(D633,Materiali!$A:$A,0)),0))</f>
        <v/>
      </c>
      <c r="I633" s="9" t="str">
        <f aca="false">IF(OR(G633="",H633=""),"",IF(F633="Uscita",-1,1)*G633*H633)</f>
        <v/>
      </c>
      <c r="J633" s="13"/>
      <c r="K633" s="13"/>
    </row>
    <row r="634" customFormat="false" ht="15" hidden="false" customHeight="false" outlineLevel="0" collapsed="false">
      <c r="A634" s="12"/>
      <c r="B634" s="13"/>
      <c r="C634" s="13"/>
      <c r="D634" s="13"/>
      <c r="E634" s="7" t="str">
        <f aca="false">IF(D634="","",IFERROR(INDEX(Materiali!$B:$B,MATCH(D634,Materiali!$A:$A,0)),"codice?"))</f>
        <v/>
      </c>
      <c r="F634" s="13"/>
      <c r="G634" s="13"/>
      <c r="H634" s="9" t="str">
        <f aca="false">IF(D634="","",IFERROR(INDEX(Materiali!$C:$C,MATCH(D634,Materiali!$A:$A,0)),0))</f>
        <v/>
      </c>
      <c r="I634" s="9" t="str">
        <f aca="false">IF(OR(G634="",H634=""),"",IF(F634="Uscita",-1,1)*G634*H634)</f>
        <v/>
      </c>
      <c r="J634" s="13"/>
      <c r="K634" s="13"/>
    </row>
    <row r="635" customFormat="false" ht="15" hidden="false" customHeight="false" outlineLevel="0" collapsed="false">
      <c r="A635" s="12"/>
      <c r="B635" s="13"/>
      <c r="C635" s="13"/>
      <c r="D635" s="13"/>
      <c r="E635" s="7" t="str">
        <f aca="false">IF(D635="","",IFERROR(INDEX(Materiali!$B:$B,MATCH(D635,Materiali!$A:$A,0)),"codice?"))</f>
        <v/>
      </c>
      <c r="F635" s="13"/>
      <c r="G635" s="13"/>
      <c r="H635" s="9" t="str">
        <f aca="false">IF(D635="","",IFERROR(INDEX(Materiali!$C:$C,MATCH(D635,Materiali!$A:$A,0)),0))</f>
        <v/>
      </c>
      <c r="I635" s="9" t="str">
        <f aca="false">IF(OR(G635="",H635=""),"",IF(F635="Uscita",-1,1)*G635*H635)</f>
        <v/>
      </c>
      <c r="J635" s="13"/>
      <c r="K635" s="13"/>
    </row>
    <row r="636" customFormat="false" ht="15" hidden="false" customHeight="false" outlineLevel="0" collapsed="false">
      <c r="A636" s="12"/>
      <c r="B636" s="13"/>
      <c r="C636" s="13"/>
      <c r="D636" s="13"/>
      <c r="E636" s="7" t="str">
        <f aca="false">IF(D636="","",IFERROR(INDEX(Materiali!$B:$B,MATCH(D636,Materiali!$A:$A,0)),"codice?"))</f>
        <v/>
      </c>
      <c r="F636" s="13"/>
      <c r="G636" s="13"/>
      <c r="H636" s="9" t="str">
        <f aca="false">IF(D636="","",IFERROR(INDEX(Materiali!$C:$C,MATCH(D636,Materiali!$A:$A,0)),0))</f>
        <v/>
      </c>
      <c r="I636" s="9" t="str">
        <f aca="false">IF(OR(G636="",H636=""),"",IF(F636="Uscita",-1,1)*G636*H636)</f>
        <v/>
      </c>
      <c r="J636" s="13"/>
      <c r="K636" s="13"/>
    </row>
    <row r="637" customFormat="false" ht="15" hidden="false" customHeight="false" outlineLevel="0" collapsed="false">
      <c r="A637" s="12"/>
      <c r="B637" s="13"/>
      <c r="C637" s="13"/>
      <c r="D637" s="13"/>
      <c r="E637" s="7" t="str">
        <f aca="false">IF(D637="","",IFERROR(INDEX(Materiali!$B:$B,MATCH(D637,Materiali!$A:$A,0)),"codice?"))</f>
        <v/>
      </c>
      <c r="F637" s="13"/>
      <c r="G637" s="13"/>
      <c r="H637" s="9" t="str">
        <f aca="false">IF(D637="","",IFERROR(INDEX(Materiali!$C:$C,MATCH(D637,Materiali!$A:$A,0)),0))</f>
        <v/>
      </c>
      <c r="I637" s="9" t="str">
        <f aca="false">IF(OR(G637="",H637=""),"",IF(F637="Uscita",-1,1)*G637*H637)</f>
        <v/>
      </c>
      <c r="J637" s="13"/>
      <c r="K637" s="13"/>
    </row>
    <row r="638" customFormat="false" ht="15" hidden="false" customHeight="false" outlineLevel="0" collapsed="false">
      <c r="A638" s="12"/>
      <c r="B638" s="13"/>
      <c r="C638" s="13"/>
      <c r="D638" s="13"/>
      <c r="E638" s="7" t="str">
        <f aca="false">IF(D638="","",IFERROR(INDEX(Materiali!$B:$B,MATCH(D638,Materiali!$A:$A,0)),"codice?"))</f>
        <v/>
      </c>
      <c r="F638" s="13"/>
      <c r="G638" s="13"/>
      <c r="H638" s="9" t="str">
        <f aca="false">IF(D638="","",IFERROR(INDEX(Materiali!$C:$C,MATCH(D638,Materiali!$A:$A,0)),0))</f>
        <v/>
      </c>
      <c r="I638" s="9" t="str">
        <f aca="false">IF(OR(G638="",H638=""),"",IF(F638="Uscita",-1,1)*G638*H638)</f>
        <v/>
      </c>
      <c r="J638" s="13"/>
      <c r="K638" s="13"/>
    </row>
    <row r="639" customFormat="false" ht="15" hidden="false" customHeight="false" outlineLevel="0" collapsed="false">
      <c r="A639" s="12"/>
      <c r="B639" s="13"/>
      <c r="C639" s="13"/>
      <c r="D639" s="13"/>
      <c r="E639" s="7" t="str">
        <f aca="false">IF(D639="","",IFERROR(INDEX(Materiali!$B:$B,MATCH(D639,Materiali!$A:$A,0)),"codice?"))</f>
        <v/>
      </c>
      <c r="F639" s="13"/>
      <c r="G639" s="13"/>
      <c r="H639" s="9" t="str">
        <f aca="false">IF(D639="","",IFERROR(INDEX(Materiali!$C:$C,MATCH(D639,Materiali!$A:$A,0)),0))</f>
        <v/>
      </c>
      <c r="I639" s="9" t="str">
        <f aca="false">IF(OR(G639="",H639=""),"",IF(F639="Uscita",-1,1)*G639*H639)</f>
        <v/>
      </c>
      <c r="J639" s="13"/>
      <c r="K639" s="13"/>
    </row>
    <row r="640" customFormat="false" ht="15" hidden="false" customHeight="false" outlineLevel="0" collapsed="false">
      <c r="A640" s="12"/>
      <c r="B640" s="13"/>
      <c r="C640" s="13"/>
      <c r="D640" s="13"/>
      <c r="E640" s="7" t="str">
        <f aca="false">IF(D640="","",IFERROR(INDEX(Materiali!$B:$B,MATCH(D640,Materiali!$A:$A,0)),"codice?"))</f>
        <v/>
      </c>
      <c r="F640" s="13"/>
      <c r="G640" s="13"/>
      <c r="H640" s="9" t="str">
        <f aca="false">IF(D640="","",IFERROR(INDEX(Materiali!$C:$C,MATCH(D640,Materiali!$A:$A,0)),0))</f>
        <v/>
      </c>
      <c r="I640" s="9" t="str">
        <f aca="false">IF(OR(G640="",H640=""),"",IF(F640="Uscita",-1,1)*G640*H640)</f>
        <v/>
      </c>
      <c r="J640" s="13"/>
      <c r="K640" s="13"/>
    </row>
    <row r="641" customFormat="false" ht="15" hidden="false" customHeight="false" outlineLevel="0" collapsed="false">
      <c r="A641" s="12"/>
      <c r="B641" s="13"/>
      <c r="C641" s="13"/>
      <c r="D641" s="13"/>
      <c r="E641" s="7" t="str">
        <f aca="false">IF(D641="","",IFERROR(INDEX(Materiali!$B:$B,MATCH(D641,Materiali!$A:$A,0)),"codice?"))</f>
        <v/>
      </c>
      <c r="F641" s="13"/>
      <c r="G641" s="13"/>
      <c r="H641" s="9" t="str">
        <f aca="false">IF(D641="","",IFERROR(INDEX(Materiali!$C:$C,MATCH(D641,Materiali!$A:$A,0)),0))</f>
        <v/>
      </c>
      <c r="I641" s="9" t="str">
        <f aca="false">IF(OR(G641="",H641=""),"",IF(F641="Uscita",-1,1)*G641*H641)</f>
        <v/>
      </c>
      <c r="J641" s="13"/>
      <c r="K641" s="13"/>
    </row>
    <row r="642" customFormat="false" ht="15" hidden="false" customHeight="false" outlineLevel="0" collapsed="false">
      <c r="A642" s="12"/>
      <c r="B642" s="13"/>
      <c r="C642" s="13"/>
      <c r="D642" s="13"/>
      <c r="E642" s="7" t="str">
        <f aca="false">IF(D642="","",IFERROR(INDEX(Materiali!$B:$B,MATCH(D642,Materiali!$A:$A,0)),"codice?"))</f>
        <v/>
      </c>
      <c r="F642" s="13"/>
      <c r="G642" s="13"/>
      <c r="H642" s="9" t="str">
        <f aca="false">IF(D642="","",IFERROR(INDEX(Materiali!$C:$C,MATCH(D642,Materiali!$A:$A,0)),0))</f>
        <v/>
      </c>
      <c r="I642" s="9" t="str">
        <f aca="false">IF(OR(G642="",H642=""),"",IF(F642="Uscita",-1,1)*G642*H642)</f>
        <v/>
      </c>
      <c r="J642" s="13"/>
      <c r="K642" s="13"/>
    </row>
    <row r="643" customFormat="false" ht="15" hidden="false" customHeight="false" outlineLevel="0" collapsed="false">
      <c r="A643" s="12"/>
      <c r="B643" s="13"/>
      <c r="C643" s="13"/>
      <c r="D643" s="13"/>
      <c r="E643" s="7" t="str">
        <f aca="false">IF(D643="","",IFERROR(INDEX(Materiali!$B:$B,MATCH(D643,Materiali!$A:$A,0)),"codice?"))</f>
        <v/>
      </c>
      <c r="F643" s="13"/>
      <c r="G643" s="13"/>
      <c r="H643" s="9" t="str">
        <f aca="false">IF(D643="","",IFERROR(INDEX(Materiali!$C:$C,MATCH(D643,Materiali!$A:$A,0)),0))</f>
        <v/>
      </c>
      <c r="I643" s="9" t="str">
        <f aca="false">IF(OR(G643="",H643=""),"",IF(F643="Uscita",-1,1)*G643*H643)</f>
        <v/>
      </c>
      <c r="J643" s="13"/>
      <c r="K643" s="13"/>
    </row>
    <row r="644" customFormat="false" ht="15" hidden="false" customHeight="false" outlineLevel="0" collapsed="false">
      <c r="A644" s="12"/>
      <c r="B644" s="13"/>
      <c r="C644" s="13"/>
      <c r="D644" s="13"/>
      <c r="E644" s="7" t="str">
        <f aca="false">IF(D644="","",IFERROR(INDEX(Materiali!$B:$B,MATCH(D644,Materiali!$A:$A,0)),"codice?"))</f>
        <v/>
      </c>
      <c r="F644" s="13"/>
      <c r="G644" s="13"/>
      <c r="H644" s="9" t="str">
        <f aca="false">IF(D644="","",IFERROR(INDEX(Materiali!$C:$C,MATCH(D644,Materiali!$A:$A,0)),0))</f>
        <v/>
      </c>
      <c r="I644" s="9" t="str">
        <f aca="false">IF(OR(G644="",H644=""),"",IF(F644="Uscita",-1,1)*G644*H644)</f>
        <v/>
      </c>
      <c r="J644" s="13"/>
      <c r="K644" s="13"/>
    </row>
    <row r="645" customFormat="false" ht="15" hidden="false" customHeight="false" outlineLevel="0" collapsed="false">
      <c r="A645" s="12"/>
      <c r="B645" s="13"/>
      <c r="C645" s="13"/>
      <c r="D645" s="13"/>
      <c r="E645" s="7" t="str">
        <f aca="false">IF(D645="","",IFERROR(INDEX(Materiali!$B:$B,MATCH(D645,Materiali!$A:$A,0)),"codice?"))</f>
        <v/>
      </c>
      <c r="F645" s="13"/>
      <c r="G645" s="13"/>
      <c r="H645" s="9" t="str">
        <f aca="false">IF(D645="","",IFERROR(INDEX(Materiali!$C:$C,MATCH(D645,Materiali!$A:$A,0)),0))</f>
        <v/>
      </c>
      <c r="I645" s="9" t="str">
        <f aca="false">IF(OR(G645="",H645=""),"",IF(F645="Uscita",-1,1)*G645*H645)</f>
        <v/>
      </c>
      <c r="J645" s="13"/>
      <c r="K645" s="13"/>
    </row>
    <row r="646" customFormat="false" ht="15" hidden="false" customHeight="false" outlineLevel="0" collapsed="false">
      <c r="A646" s="12"/>
      <c r="B646" s="13"/>
      <c r="C646" s="13"/>
      <c r="D646" s="13"/>
      <c r="E646" s="7" t="str">
        <f aca="false">IF(D646="","",IFERROR(INDEX(Materiali!$B:$B,MATCH(D646,Materiali!$A:$A,0)),"codice?"))</f>
        <v/>
      </c>
      <c r="F646" s="13"/>
      <c r="G646" s="13"/>
      <c r="H646" s="9" t="str">
        <f aca="false">IF(D646="","",IFERROR(INDEX(Materiali!$C:$C,MATCH(D646,Materiali!$A:$A,0)),0))</f>
        <v/>
      </c>
      <c r="I646" s="9" t="str">
        <f aca="false">IF(OR(G646="",H646=""),"",IF(F646="Uscita",-1,1)*G646*H646)</f>
        <v/>
      </c>
      <c r="J646" s="13"/>
      <c r="K646" s="13"/>
    </row>
    <row r="647" customFormat="false" ht="15" hidden="false" customHeight="false" outlineLevel="0" collapsed="false">
      <c r="A647" s="12"/>
      <c r="B647" s="13"/>
      <c r="C647" s="13"/>
      <c r="D647" s="13"/>
      <c r="E647" s="7" t="str">
        <f aca="false">IF(D647="","",IFERROR(INDEX(Materiali!$B:$B,MATCH(D647,Materiali!$A:$A,0)),"codice?"))</f>
        <v/>
      </c>
      <c r="F647" s="13"/>
      <c r="G647" s="13"/>
      <c r="H647" s="9" t="str">
        <f aca="false">IF(D647="","",IFERROR(INDEX(Materiali!$C:$C,MATCH(D647,Materiali!$A:$A,0)),0))</f>
        <v/>
      </c>
      <c r="I647" s="9" t="str">
        <f aca="false">IF(OR(G647="",H647=""),"",IF(F647="Uscita",-1,1)*G647*H647)</f>
        <v/>
      </c>
      <c r="J647" s="13"/>
      <c r="K647" s="13"/>
    </row>
    <row r="648" customFormat="false" ht="15" hidden="false" customHeight="false" outlineLevel="0" collapsed="false">
      <c r="A648" s="12"/>
      <c r="B648" s="13"/>
      <c r="C648" s="13"/>
      <c r="D648" s="13"/>
      <c r="E648" s="7" t="str">
        <f aca="false">IF(D648="","",IFERROR(INDEX(Materiali!$B:$B,MATCH(D648,Materiali!$A:$A,0)),"codice?"))</f>
        <v/>
      </c>
      <c r="F648" s="13"/>
      <c r="G648" s="13"/>
      <c r="H648" s="9" t="str">
        <f aca="false">IF(D648="","",IFERROR(INDEX(Materiali!$C:$C,MATCH(D648,Materiali!$A:$A,0)),0))</f>
        <v/>
      </c>
      <c r="I648" s="9" t="str">
        <f aca="false">IF(OR(G648="",H648=""),"",IF(F648="Uscita",-1,1)*G648*H648)</f>
        <v/>
      </c>
      <c r="J648" s="13"/>
      <c r="K648" s="13"/>
    </row>
    <row r="649" customFormat="false" ht="15" hidden="false" customHeight="false" outlineLevel="0" collapsed="false">
      <c r="A649" s="12"/>
      <c r="B649" s="13"/>
      <c r="C649" s="13"/>
      <c r="D649" s="13"/>
      <c r="E649" s="7" t="str">
        <f aca="false">IF(D649="","",IFERROR(INDEX(Materiali!$B:$B,MATCH(D649,Materiali!$A:$A,0)),"codice?"))</f>
        <v/>
      </c>
      <c r="F649" s="13"/>
      <c r="G649" s="13"/>
      <c r="H649" s="9" t="str">
        <f aca="false">IF(D649="","",IFERROR(INDEX(Materiali!$C:$C,MATCH(D649,Materiali!$A:$A,0)),0))</f>
        <v/>
      </c>
      <c r="I649" s="9" t="str">
        <f aca="false">IF(OR(G649="",H649=""),"",IF(F649="Uscita",-1,1)*G649*H649)</f>
        <v/>
      </c>
      <c r="J649" s="13"/>
      <c r="K649" s="13"/>
    </row>
    <row r="650" customFormat="false" ht="15" hidden="false" customHeight="false" outlineLevel="0" collapsed="false">
      <c r="A650" s="12"/>
      <c r="B650" s="13"/>
      <c r="C650" s="13"/>
      <c r="D650" s="13"/>
      <c r="E650" s="7" t="str">
        <f aca="false">IF(D650="","",IFERROR(INDEX(Materiali!$B:$B,MATCH(D650,Materiali!$A:$A,0)),"codice?"))</f>
        <v/>
      </c>
      <c r="F650" s="13"/>
      <c r="G650" s="13"/>
      <c r="H650" s="9" t="str">
        <f aca="false">IF(D650="","",IFERROR(INDEX(Materiali!$C:$C,MATCH(D650,Materiali!$A:$A,0)),0))</f>
        <v/>
      </c>
      <c r="I650" s="9" t="str">
        <f aca="false">IF(OR(G650="",H650=""),"",IF(F650="Uscita",-1,1)*G650*H650)</f>
        <v/>
      </c>
      <c r="J650" s="13"/>
      <c r="K650" s="13"/>
    </row>
    <row r="651" customFormat="false" ht="15" hidden="false" customHeight="false" outlineLevel="0" collapsed="false">
      <c r="A651" s="12"/>
      <c r="B651" s="13"/>
      <c r="C651" s="13"/>
      <c r="D651" s="13"/>
      <c r="E651" s="7" t="str">
        <f aca="false">IF(D651="","",IFERROR(INDEX(Materiali!$B:$B,MATCH(D651,Materiali!$A:$A,0)),"codice?"))</f>
        <v/>
      </c>
      <c r="F651" s="13"/>
      <c r="G651" s="13"/>
      <c r="H651" s="9" t="str">
        <f aca="false">IF(D651="","",IFERROR(INDEX(Materiali!$C:$C,MATCH(D651,Materiali!$A:$A,0)),0))</f>
        <v/>
      </c>
      <c r="I651" s="9" t="str">
        <f aca="false">IF(OR(G651="",H651=""),"",IF(F651="Uscita",-1,1)*G651*H651)</f>
        <v/>
      </c>
      <c r="J651" s="13"/>
      <c r="K651" s="13"/>
    </row>
    <row r="652" customFormat="false" ht="15" hidden="false" customHeight="false" outlineLevel="0" collapsed="false">
      <c r="A652" s="12"/>
      <c r="B652" s="13"/>
      <c r="C652" s="13"/>
      <c r="D652" s="13"/>
      <c r="E652" s="7" t="str">
        <f aca="false">IF(D652="","",IFERROR(INDEX(Materiali!$B:$B,MATCH(D652,Materiali!$A:$A,0)),"codice?"))</f>
        <v/>
      </c>
      <c r="F652" s="13"/>
      <c r="G652" s="13"/>
      <c r="H652" s="9" t="str">
        <f aca="false">IF(D652="","",IFERROR(INDEX(Materiali!$C:$C,MATCH(D652,Materiali!$A:$A,0)),0))</f>
        <v/>
      </c>
      <c r="I652" s="9" t="str">
        <f aca="false">IF(OR(G652="",H652=""),"",IF(F652="Uscita",-1,1)*G652*H652)</f>
        <v/>
      </c>
      <c r="J652" s="13"/>
      <c r="K652" s="13"/>
    </row>
    <row r="653" customFormat="false" ht="15" hidden="false" customHeight="false" outlineLevel="0" collapsed="false">
      <c r="A653" s="12"/>
      <c r="B653" s="13"/>
      <c r="C653" s="13"/>
      <c r="D653" s="13"/>
      <c r="E653" s="7" t="str">
        <f aca="false">IF(D653="","",IFERROR(INDEX(Materiali!$B:$B,MATCH(D653,Materiali!$A:$A,0)),"codice?"))</f>
        <v/>
      </c>
      <c r="F653" s="13"/>
      <c r="G653" s="13"/>
      <c r="H653" s="9" t="str">
        <f aca="false">IF(D653="","",IFERROR(INDEX(Materiali!$C:$C,MATCH(D653,Materiali!$A:$A,0)),0))</f>
        <v/>
      </c>
      <c r="I653" s="9" t="str">
        <f aca="false">IF(OR(G653="",H653=""),"",IF(F653="Uscita",-1,1)*G653*H653)</f>
        <v/>
      </c>
      <c r="J653" s="13"/>
      <c r="K653" s="13"/>
    </row>
    <row r="654" customFormat="false" ht="15" hidden="false" customHeight="false" outlineLevel="0" collapsed="false">
      <c r="A654" s="12"/>
      <c r="B654" s="13"/>
      <c r="C654" s="13"/>
      <c r="D654" s="13"/>
      <c r="E654" s="7" t="str">
        <f aca="false">IF(D654="","",IFERROR(INDEX(Materiali!$B:$B,MATCH(D654,Materiali!$A:$A,0)),"codice?"))</f>
        <v/>
      </c>
      <c r="F654" s="13"/>
      <c r="G654" s="13"/>
      <c r="H654" s="9" t="str">
        <f aca="false">IF(D654="","",IFERROR(INDEX(Materiali!$C:$C,MATCH(D654,Materiali!$A:$A,0)),0))</f>
        <v/>
      </c>
      <c r="I654" s="9" t="str">
        <f aca="false">IF(OR(G654="",H654=""),"",IF(F654="Uscita",-1,1)*G654*H654)</f>
        <v/>
      </c>
      <c r="J654" s="13"/>
      <c r="K654" s="13"/>
    </row>
    <row r="655" customFormat="false" ht="15" hidden="false" customHeight="false" outlineLevel="0" collapsed="false">
      <c r="A655" s="12"/>
      <c r="B655" s="13"/>
      <c r="C655" s="13"/>
      <c r="D655" s="13"/>
      <c r="E655" s="7" t="str">
        <f aca="false">IF(D655="","",IFERROR(INDEX(Materiali!$B:$B,MATCH(D655,Materiali!$A:$A,0)),"codice?"))</f>
        <v/>
      </c>
      <c r="F655" s="13"/>
      <c r="G655" s="13"/>
      <c r="H655" s="9" t="str">
        <f aca="false">IF(D655="","",IFERROR(INDEX(Materiali!$C:$C,MATCH(D655,Materiali!$A:$A,0)),0))</f>
        <v/>
      </c>
      <c r="I655" s="9" t="str">
        <f aca="false">IF(OR(G655="",H655=""),"",IF(F655="Uscita",-1,1)*G655*H655)</f>
        <v/>
      </c>
      <c r="J655" s="13"/>
      <c r="K655" s="13"/>
    </row>
    <row r="656" customFormat="false" ht="15" hidden="false" customHeight="false" outlineLevel="0" collapsed="false">
      <c r="A656" s="12"/>
      <c r="B656" s="13"/>
      <c r="C656" s="13"/>
      <c r="D656" s="13"/>
      <c r="E656" s="7" t="str">
        <f aca="false">IF(D656="","",IFERROR(INDEX(Materiali!$B:$B,MATCH(D656,Materiali!$A:$A,0)),"codice?"))</f>
        <v/>
      </c>
      <c r="F656" s="13"/>
      <c r="G656" s="13"/>
      <c r="H656" s="9" t="str">
        <f aca="false">IF(D656="","",IFERROR(INDEX(Materiali!$C:$C,MATCH(D656,Materiali!$A:$A,0)),0))</f>
        <v/>
      </c>
      <c r="I656" s="9" t="str">
        <f aca="false">IF(OR(G656="",H656=""),"",IF(F656="Uscita",-1,1)*G656*H656)</f>
        <v/>
      </c>
      <c r="J656" s="13"/>
      <c r="K656" s="13"/>
    </row>
    <row r="657" customFormat="false" ht="15" hidden="false" customHeight="false" outlineLevel="0" collapsed="false">
      <c r="A657" s="12"/>
      <c r="B657" s="13"/>
      <c r="C657" s="13"/>
      <c r="D657" s="13"/>
      <c r="E657" s="7" t="str">
        <f aca="false">IF(D657="","",IFERROR(INDEX(Materiali!$B:$B,MATCH(D657,Materiali!$A:$A,0)),"codice?"))</f>
        <v/>
      </c>
      <c r="F657" s="13"/>
      <c r="G657" s="13"/>
      <c r="H657" s="9" t="str">
        <f aca="false">IF(D657="","",IFERROR(INDEX(Materiali!$C:$C,MATCH(D657,Materiali!$A:$A,0)),0))</f>
        <v/>
      </c>
      <c r="I657" s="9" t="str">
        <f aca="false">IF(OR(G657="",H657=""),"",IF(F657="Uscita",-1,1)*G657*H657)</f>
        <v/>
      </c>
      <c r="J657" s="13"/>
      <c r="K657" s="13"/>
    </row>
    <row r="658" customFormat="false" ht="15" hidden="false" customHeight="false" outlineLevel="0" collapsed="false">
      <c r="A658" s="12"/>
      <c r="B658" s="13"/>
      <c r="C658" s="13"/>
      <c r="D658" s="13"/>
      <c r="E658" s="7" t="str">
        <f aca="false">IF(D658="","",IFERROR(INDEX(Materiali!$B:$B,MATCH(D658,Materiali!$A:$A,0)),"codice?"))</f>
        <v/>
      </c>
      <c r="F658" s="13"/>
      <c r="G658" s="13"/>
      <c r="H658" s="9" t="str">
        <f aca="false">IF(D658="","",IFERROR(INDEX(Materiali!$C:$C,MATCH(D658,Materiali!$A:$A,0)),0))</f>
        <v/>
      </c>
      <c r="I658" s="9" t="str">
        <f aca="false">IF(OR(G658="",H658=""),"",IF(F658="Uscita",-1,1)*G658*H658)</f>
        <v/>
      </c>
      <c r="J658" s="13"/>
      <c r="K658" s="13"/>
    </row>
    <row r="659" customFormat="false" ht="15" hidden="false" customHeight="false" outlineLevel="0" collapsed="false">
      <c r="A659" s="12"/>
      <c r="B659" s="13"/>
      <c r="C659" s="13"/>
      <c r="D659" s="13"/>
      <c r="E659" s="7" t="str">
        <f aca="false">IF(D659="","",IFERROR(INDEX(Materiali!$B:$B,MATCH(D659,Materiali!$A:$A,0)),"codice?"))</f>
        <v/>
      </c>
      <c r="F659" s="13"/>
      <c r="G659" s="13"/>
      <c r="H659" s="9" t="str">
        <f aca="false">IF(D659="","",IFERROR(INDEX(Materiali!$C:$C,MATCH(D659,Materiali!$A:$A,0)),0))</f>
        <v/>
      </c>
      <c r="I659" s="9" t="str">
        <f aca="false">IF(OR(G659="",H659=""),"",IF(F659="Uscita",-1,1)*G659*H659)</f>
        <v/>
      </c>
      <c r="J659" s="13"/>
      <c r="K659" s="13"/>
    </row>
    <row r="660" customFormat="false" ht="15" hidden="false" customHeight="false" outlineLevel="0" collapsed="false">
      <c r="A660" s="12"/>
      <c r="B660" s="13"/>
      <c r="C660" s="13"/>
      <c r="D660" s="13"/>
      <c r="E660" s="7" t="str">
        <f aca="false">IF(D660="","",IFERROR(INDEX(Materiali!$B:$B,MATCH(D660,Materiali!$A:$A,0)),"codice?"))</f>
        <v/>
      </c>
      <c r="F660" s="13"/>
      <c r="G660" s="13"/>
      <c r="H660" s="9" t="str">
        <f aca="false">IF(D660="","",IFERROR(INDEX(Materiali!$C:$C,MATCH(D660,Materiali!$A:$A,0)),0))</f>
        <v/>
      </c>
      <c r="I660" s="9" t="str">
        <f aca="false">IF(OR(G660="",H660=""),"",IF(F660="Uscita",-1,1)*G660*H660)</f>
        <v/>
      </c>
      <c r="J660" s="13"/>
      <c r="K660" s="13"/>
    </row>
    <row r="661" customFormat="false" ht="15" hidden="false" customHeight="false" outlineLevel="0" collapsed="false">
      <c r="A661" s="12"/>
      <c r="B661" s="13"/>
      <c r="C661" s="13"/>
      <c r="D661" s="13"/>
      <c r="E661" s="7" t="str">
        <f aca="false">IF(D661="","",IFERROR(INDEX(Materiali!$B:$B,MATCH(D661,Materiali!$A:$A,0)),"codice?"))</f>
        <v/>
      </c>
      <c r="F661" s="13"/>
      <c r="G661" s="13"/>
      <c r="H661" s="9" t="str">
        <f aca="false">IF(D661="","",IFERROR(INDEX(Materiali!$C:$C,MATCH(D661,Materiali!$A:$A,0)),0))</f>
        <v/>
      </c>
      <c r="I661" s="9" t="str">
        <f aca="false">IF(OR(G661="",H661=""),"",IF(F661="Uscita",-1,1)*G661*H661)</f>
        <v/>
      </c>
      <c r="J661" s="13"/>
      <c r="K661" s="13"/>
    </row>
    <row r="662" customFormat="false" ht="15" hidden="false" customHeight="false" outlineLevel="0" collapsed="false">
      <c r="A662" s="12"/>
      <c r="B662" s="13"/>
      <c r="C662" s="13"/>
      <c r="D662" s="13"/>
      <c r="E662" s="7" t="str">
        <f aca="false">IF(D662="","",IFERROR(INDEX(Materiali!$B:$B,MATCH(D662,Materiali!$A:$A,0)),"codice?"))</f>
        <v/>
      </c>
      <c r="F662" s="13"/>
      <c r="G662" s="13"/>
      <c r="H662" s="9" t="str">
        <f aca="false">IF(D662="","",IFERROR(INDEX(Materiali!$C:$C,MATCH(D662,Materiali!$A:$A,0)),0))</f>
        <v/>
      </c>
      <c r="I662" s="9" t="str">
        <f aca="false">IF(OR(G662="",H662=""),"",IF(F662="Uscita",-1,1)*G662*H662)</f>
        <v/>
      </c>
      <c r="J662" s="13"/>
      <c r="K662" s="13"/>
    </row>
    <row r="663" customFormat="false" ht="15" hidden="false" customHeight="false" outlineLevel="0" collapsed="false">
      <c r="A663" s="12"/>
      <c r="B663" s="13"/>
      <c r="C663" s="13"/>
      <c r="D663" s="13"/>
      <c r="E663" s="7" t="str">
        <f aca="false">IF(D663="","",IFERROR(INDEX(Materiali!$B:$B,MATCH(D663,Materiali!$A:$A,0)),"codice?"))</f>
        <v/>
      </c>
      <c r="F663" s="13"/>
      <c r="G663" s="13"/>
      <c r="H663" s="9" t="str">
        <f aca="false">IF(D663="","",IFERROR(INDEX(Materiali!$C:$C,MATCH(D663,Materiali!$A:$A,0)),0))</f>
        <v/>
      </c>
      <c r="I663" s="9" t="str">
        <f aca="false">IF(OR(G663="",H663=""),"",IF(F663="Uscita",-1,1)*G663*H663)</f>
        <v/>
      </c>
      <c r="J663" s="13"/>
      <c r="K663" s="13"/>
    </row>
    <row r="664" customFormat="false" ht="15" hidden="false" customHeight="false" outlineLevel="0" collapsed="false">
      <c r="A664" s="12"/>
      <c r="B664" s="13"/>
      <c r="C664" s="13"/>
      <c r="D664" s="13"/>
      <c r="E664" s="7" t="str">
        <f aca="false">IF(D664="","",IFERROR(INDEX(Materiali!$B:$B,MATCH(D664,Materiali!$A:$A,0)),"codice?"))</f>
        <v/>
      </c>
      <c r="F664" s="13"/>
      <c r="G664" s="13"/>
      <c r="H664" s="9" t="str">
        <f aca="false">IF(D664="","",IFERROR(INDEX(Materiali!$C:$C,MATCH(D664,Materiali!$A:$A,0)),0))</f>
        <v/>
      </c>
      <c r="I664" s="9" t="str">
        <f aca="false">IF(OR(G664="",H664=""),"",IF(F664="Uscita",-1,1)*G664*H664)</f>
        <v/>
      </c>
      <c r="J664" s="13"/>
      <c r="K664" s="13"/>
    </row>
    <row r="665" customFormat="false" ht="15" hidden="false" customHeight="false" outlineLevel="0" collapsed="false">
      <c r="A665" s="12"/>
      <c r="B665" s="13"/>
      <c r="C665" s="13"/>
      <c r="D665" s="13"/>
      <c r="E665" s="7" t="str">
        <f aca="false">IF(D665="","",IFERROR(INDEX(Materiali!$B:$B,MATCH(D665,Materiali!$A:$A,0)),"codice?"))</f>
        <v/>
      </c>
      <c r="F665" s="13"/>
      <c r="G665" s="13"/>
      <c r="H665" s="9" t="str">
        <f aca="false">IF(D665="","",IFERROR(INDEX(Materiali!$C:$C,MATCH(D665,Materiali!$A:$A,0)),0))</f>
        <v/>
      </c>
      <c r="I665" s="9" t="str">
        <f aca="false">IF(OR(G665="",H665=""),"",IF(F665="Uscita",-1,1)*G665*H665)</f>
        <v/>
      </c>
      <c r="J665" s="13"/>
      <c r="K665" s="13"/>
    </row>
    <row r="666" customFormat="false" ht="15" hidden="false" customHeight="false" outlineLevel="0" collapsed="false">
      <c r="A666" s="12"/>
      <c r="B666" s="13"/>
      <c r="C666" s="13"/>
      <c r="D666" s="13"/>
      <c r="E666" s="7" t="str">
        <f aca="false">IF(D666="","",IFERROR(INDEX(Materiali!$B:$B,MATCH(D666,Materiali!$A:$A,0)),"codice?"))</f>
        <v/>
      </c>
      <c r="F666" s="13"/>
      <c r="G666" s="13"/>
      <c r="H666" s="9" t="str">
        <f aca="false">IF(D666="","",IFERROR(INDEX(Materiali!$C:$C,MATCH(D666,Materiali!$A:$A,0)),0))</f>
        <v/>
      </c>
      <c r="I666" s="9" t="str">
        <f aca="false">IF(OR(G666="",H666=""),"",IF(F666="Uscita",-1,1)*G666*H666)</f>
        <v/>
      </c>
      <c r="J666" s="13"/>
      <c r="K666" s="13"/>
    </row>
    <row r="667" customFormat="false" ht="15" hidden="false" customHeight="false" outlineLevel="0" collapsed="false">
      <c r="A667" s="12"/>
      <c r="B667" s="13"/>
      <c r="C667" s="13"/>
      <c r="D667" s="13"/>
      <c r="E667" s="7" t="str">
        <f aca="false">IF(D667="","",IFERROR(INDEX(Materiali!$B:$B,MATCH(D667,Materiali!$A:$A,0)),"codice?"))</f>
        <v/>
      </c>
      <c r="F667" s="13"/>
      <c r="G667" s="13"/>
      <c r="H667" s="9" t="str">
        <f aca="false">IF(D667="","",IFERROR(INDEX(Materiali!$C:$C,MATCH(D667,Materiali!$A:$A,0)),0))</f>
        <v/>
      </c>
      <c r="I667" s="9" t="str">
        <f aca="false">IF(OR(G667="",H667=""),"",IF(F667="Uscita",-1,1)*G667*H667)</f>
        <v/>
      </c>
      <c r="J667" s="13"/>
      <c r="K667" s="13"/>
    </row>
    <row r="668" customFormat="false" ht="15" hidden="false" customHeight="false" outlineLevel="0" collapsed="false">
      <c r="A668" s="12"/>
      <c r="B668" s="13"/>
      <c r="C668" s="13"/>
      <c r="D668" s="13"/>
      <c r="E668" s="7" t="str">
        <f aca="false">IF(D668="","",IFERROR(INDEX(Materiali!$B:$B,MATCH(D668,Materiali!$A:$A,0)),"codice?"))</f>
        <v/>
      </c>
      <c r="F668" s="13"/>
      <c r="G668" s="13"/>
      <c r="H668" s="9" t="str">
        <f aca="false">IF(D668="","",IFERROR(INDEX(Materiali!$C:$C,MATCH(D668,Materiali!$A:$A,0)),0))</f>
        <v/>
      </c>
      <c r="I668" s="9" t="str">
        <f aca="false">IF(OR(G668="",H668=""),"",IF(F668="Uscita",-1,1)*G668*H668)</f>
        <v/>
      </c>
      <c r="J668" s="13"/>
      <c r="K668" s="13"/>
    </row>
    <row r="669" customFormat="false" ht="15" hidden="false" customHeight="false" outlineLevel="0" collapsed="false">
      <c r="A669" s="12"/>
      <c r="B669" s="13"/>
      <c r="C669" s="13"/>
      <c r="D669" s="13"/>
      <c r="E669" s="7" t="str">
        <f aca="false">IF(D669="","",IFERROR(INDEX(Materiali!$B:$B,MATCH(D669,Materiali!$A:$A,0)),"codice?"))</f>
        <v/>
      </c>
      <c r="F669" s="13"/>
      <c r="G669" s="13"/>
      <c r="H669" s="9" t="str">
        <f aca="false">IF(D669="","",IFERROR(INDEX(Materiali!$C:$C,MATCH(D669,Materiali!$A:$A,0)),0))</f>
        <v/>
      </c>
      <c r="I669" s="9" t="str">
        <f aca="false">IF(OR(G669="",H669=""),"",IF(F669="Uscita",-1,1)*G669*H669)</f>
        <v/>
      </c>
      <c r="J669" s="13"/>
      <c r="K669" s="13"/>
    </row>
    <row r="670" customFormat="false" ht="15" hidden="false" customHeight="false" outlineLevel="0" collapsed="false">
      <c r="A670" s="12"/>
      <c r="B670" s="13"/>
      <c r="C670" s="13"/>
      <c r="D670" s="13"/>
      <c r="E670" s="7" t="str">
        <f aca="false">IF(D670="","",IFERROR(INDEX(Materiali!$B:$B,MATCH(D670,Materiali!$A:$A,0)),"codice?"))</f>
        <v/>
      </c>
      <c r="F670" s="13"/>
      <c r="G670" s="13"/>
      <c r="H670" s="9" t="str">
        <f aca="false">IF(D670="","",IFERROR(INDEX(Materiali!$C:$C,MATCH(D670,Materiali!$A:$A,0)),0))</f>
        <v/>
      </c>
      <c r="I670" s="9" t="str">
        <f aca="false">IF(OR(G670="",H670=""),"",IF(F670="Uscita",-1,1)*G670*H670)</f>
        <v/>
      </c>
      <c r="J670" s="13"/>
      <c r="K670" s="13"/>
    </row>
    <row r="671" customFormat="false" ht="15" hidden="false" customHeight="false" outlineLevel="0" collapsed="false">
      <c r="A671" s="12"/>
      <c r="B671" s="13"/>
      <c r="C671" s="13"/>
      <c r="D671" s="13"/>
      <c r="E671" s="7" t="str">
        <f aca="false">IF(D671="","",IFERROR(INDEX(Materiali!$B:$B,MATCH(D671,Materiali!$A:$A,0)),"codice?"))</f>
        <v/>
      </c>
      <c r="F671" s="13"/>
      <c r="G671" s="13"/>
      <c r="H671" s="9" t="str">
        <f aca="false">IF(D671="","",IFERROR(INDEX(Materiali!$C:$C,MATCH(D671,Materiali!$A:$A,0)),0))</f>
        <v/>
      </c>
      <c r="I671" s="9" t="str">
        <f aca="false">IF(OR(G671="",H671=""),"",IF(F671="Uscita",-1,1)*G671*H671)</f>
        <v/>
      </c>
      <c r="J671" s="13"/>
      <c r="K671" s="13"/>
    </row>
    <row r="672" customFormat="false" ht="15" hidden="false" customHeight="false" outlineLevel="0" collapsed="false">
      <c r="A672" s="12"/>
      <c r="B672" s="13"/>
      <c r="C672" s="13"/>
      <c r="D672" s="13"/>
      <c r="E672" s="7" t="str">
        <f aca="false">IF(D672="","",IFERROR(INDEX(Materiali!$B:$B,MATCH(D672,Materiali!$A:$A,0)),"codice?"))</f>
        <v/>
      </c>
      <c r="F672" s="13"/>
      <c r="G672" s="13"/>
      <c r="H672" s="9" t="str">
        <f aca="false">IF(D672="","",IFERROR(INDEX(Materiali!$C:$C,MATCH(D672,Materiali!$A:$A,0)),0))</f>
        <v/>
      </c>
      <c r="I672" s="9" t="str">
        <f aca="false">IF(OR(G672="",H672=""),"",IF(F672="Uscita",-1,1)*G672*H672)</f>
        <v/>
      </c>
      <c r="J672" s="13"/>
      <c r="K672" s="13"/>
    </row>
    <row r="673" customFormat="false" ht="15" hidden="false" customHeight="false" outlineLevel="0" collapsed="false">
      <c r="A673" s="12"/>
      <c r="B673" s="13"/>
      <c r="C673" s="13"/>
      <c r="D673" s="13"/>
      <c r="E673" s="7" t="str">
        <f aca="false">IF(D673="","",IFERROR(INDEX(Materiali!$B:$B,MATCH(D673,Materiali!$A:$A,0)),"codice?"))</f>
        <v/>
      </c>
      <c r="F673" s="13"/>
      <c r="G673" s="13"/>
      <c r="H673" s="9" t="str">
        <f aca="false">IF(D673="","",IFERROR(INDEX(Materiali!$C:$C,MATCH(D673,Materiali!$A:$A,0)),0))</f>
        <v/>
      </c>
      <c r="I673" s="9" t="str">
        <f aca="false">IF(OR(G673="",H673=""),"",IF(F673="Uscita",-1,1)*G673*H673)</f>
        <v/>
      </c>
      <c r="J673" s="13"/>
      <c r="K673" s="13"/>
    </row>
    <row r="674" customFormat="false" ht="15" hidden="false" customHeight="false" outlineLevel="0" collapsed="false">
      <c r="A674" s="12"/>
      <c r="B674" s="13"/>
      <c r="C674" s="13"/>
      <c r="D674" s="13"/>
      <c r="E674" s="7" t="str">
        <f aca="false">IF(D674="","",IFERROR(INDEX(Materiali!$B:$B,MATCH(D674,Materiali!$A:$A,0)),"codice?"))</f>
        <v/>
      </c>
      <c r="F674" s="13"/>
      <c r="G674" s="13"/>
      <c r="H674" s="9" t="str">
        <f aca="false">IF(D674="","",IFERROR(INDEX(Materiali!$C:$C,MATCH(D674,Materiali!$A:$A,0)),0))</f>
        <v/>
      </c>
      <c r="I674" s="9" t="str">
        <f aca="false">IF(OR(G674="",H674=""),"",IF(F674="Uscita",-1,1)*G674*H674)</f>
        <v/>
      </c>
      <c r="J674" s="13"/>
      <c r="K674" s="13"/>
    </row>
    <row r="675" customFormat="false" ht="15" hidden="false" customHeight="false" outlineLevel="0" collapsed="false">
      <c r="A675" s="12"/>
      <c r="B675" s="13"/>
      <c r="C675" s="13"/>
      <c r="D675" s="13"/>
      <c r="E675" s="7" t="str">
        <f aca="false">IF(D675="","",IFERROR(INDEX(Materiali!$B:$B,MATCH(D675,Materiali!$A:$A,0)),"codice?"))</f>
        <v/>
      </c>
      <c r="F675" s="13"/>
      <c r="G675" s="13"/>
      <c r="H675" s="9" t="str">
        <f aca="false">IF(D675="","",IFERROR(INDEX(Materiali!$C:$C,MATCH(D675,Materiali!$A:$A,0)),0))</f>
        <v/>
      </c>
      <c r="I675" s="9" t="str">
        <f aca="false">IF(OR(G675="",H675=""),"",IF(F675="Uscita",-1,1)*G675*H675)</f>
        <v/>
      </c>
      <c r="J675" s="13"/>
      <c r="K675" s="13"/>
    </row>
    <row r="676" customFormat="false" ht="15" hidden="false" customHeight="false" outlineLevel="0" collapsed="false">
      <c r="A676" s="12"/>
      <c r="B676" s="13"/>
      <c r="C676" s="13"/>
      <c r="D676" s="13"/>
      <c r="E676" s="7" t="str">
        <f aca="false">IF(D676="","",IFERROR(INDEX(Materiali!$B:$B,MATCH(D676,Materiali!$A:$A,0)),"codice?"))</f>
        <v/>
      </c>
      <c r="F676" s="13"/>
      <c r="G676" s="13"/>
      <c r="H676" s="9" t="str">
        <f aca="false">IF(D676="","",IFERROR(INDEX(Materiali!$C:$C,MATCH(D676,Materiali!$A:$A,0)),0))</f>
        <v/>
      </c>
      <c r="I676" s="9" t="str">
        <f aca="false">IF(OR(G676="",H676=""),"",IF(F676="Uscita",-1,1)*G676*H676)</f>
        <v/>
      </c>
      <c r="J676" s="13"/>
      <c r="K676" s="13"/>
    </row>
    <row r="677" customFormat="false" ht="15" hidden="false" customHeight="false" outlineLevel="0" collapsed="false">
      <c r="A677" s="12"/>
      <c r="B677" s="13"/>
      <c r="C677" s="13"/>
      <c r="D677" s="13"/>
      <c r="E677" s="7" t="str">
        <f aca="false">IF(D677="","",IFERROR(INDEX(Materiali!$B:$B,MATCH(D677,Materiali!$A:$A,0)),"codice?"))</f>
        <v/>
      </c>
      <c r="F677" s="13"/>
      <c r="G677" s="13"/>
      <c r="H677" s="9" t="str">
        <f aca="false">IF(D677="","",IFERROR(INDEX(Materiali!$C:$C,MATCH(D677,Materiali!$A:$A,0)),0))</f>
        <v/>
      </c>
      <c r="I677" s="9" t="str">
        <f aca="false">IF(OR(G677="",H677=""),"",IF(F677="Uscita",-1,1)*G677*H677)</f>
        <v/>
      </c>
      <c r="J677" s="13"/>
      <c r="K677" s="13"/>
    </row>
    <row r="678" customFormat="false" ht="15" hidden="false" customHeight="false" outlineLevel="0" collapsed="false">
      <c r="A678" s="12"/>
      <c r="B678" s="13"/>
      <c r="C678" s="13"/>
      <c r="D678" s="13"/>
      <c r="E678" s="7" t="str">
        <f aca="false">IF(D678="","",IFERROR(INDEX(Materiali!$B:$B,MATCH(D678,Materiali!$A:$A,0)),"codice?"))</f>
        <v/>
      </c>
      <c r="F678" s="13"/>
      <c r="G678" s="13"/>
      <c r="H678" s="9" t="str">
        <f aca="false">IF(D678="","",IFERROR(INDEX(Materiali!$C:$C,MATCH(D678,Materiali!$A:$A,0)),0))</f>
        <v/>
      </c>
      <c r="I678" s="9" t="str">
        <f aca="false">IF(OR(G678="",H678=""),"",IF(F678="Uscita",-1,1)*G678*H678)</f>
        <v/>
      </c>
      <c r="J678" s="13"/>
      <c r="K678" s="13"/>
    </row>
    <row r="679" customFormat="false" ht="15" hidden="false" customHeight="false" outlineLevel="0" collapsed="false">
      <c r="A679" s="12"/>
      <c r="B679" s="13"/>
      <c r="C679" s="13"/>
      <c r="D679" s="13"/>
      <c r="E679" s="7" t="str">
        <f aca="false">IF(D679="","",IFERROR(INDEX(Materiali!$B:$B,MATCH(D679,Materiali!$A:$A,0)),"codice?"))</f>
        <v/>
      </c>
      <c r="F679" s="13"/>
      <c r="G679" s="13"/>
      <c r="H679" s="9" t="str">
        <f aca="false">IF(D679="","",IFERROR(INDEX(Materiali!$C:$C,MATCH(D679,Materiali!$A:$A,0)),0))</f>
        <v/>
      </c>
      <c r="I679" s="9" t="str">
        <f aca="false">IF(OR(G679="",H679=""),"",IF(F679="Uscita",-1,1)*G679*H679)</f>
        <v/>
      </c>
      <c r="J679" s="13"/>
      <c r="K679" s="13"/>
    </row>
    <row r="680" customFormat="false" ht="15" hidden="false" customHeight="false" outlineLevel="0" collapsed="false">
      <c r="A680" s="12"/>
      <c r="B680" s="13"/>
      <c r="C680" s="13"/>
      <c r="D680" s="13"/>
      <c r="E680" s="7" t="str">
        <f aca="false">IF(D680="","",IFERROR(INDEX(Materiali!$B:$B,MATCH(D680,Materiali!$A:$A,0)),"codice?"))</f>
        <v/>
      </c>
      <c r="F680" s="13"/>
      <c r="G680" s="13"/>
      <c r="H680" s="9" t="str">
        <f aca="false">IF(D680="","",IFERROR(INDEX(Materiali!$C:$C,MATCH(D680,Materiali!$A:$A,0)),0))</f>
        <v/>
      </c>
      <c r="I680" s="9" t="str">
        <f aca="false">IF(OR(G680="",H680=""),"",IF(F680="Uscita",-1,1)*G680*H680)</f>
        <v/>
      </c>
      <c r="J680" s="13"/>
      <c r="K680" s="13"/>
    </row>
    <row r="681" customFormat="false" ht="15" hidden="false" customHeight="false" outlineLevel="0" collapsed="false">
      <c r="A681" s="12"/>
      <c r="B681" s="13"/>
      <c r="C681" s="13"/>
      <c r="D681" s="13"/>
      <c r="E681" s="7" t="str">
        <f aca="false">IF(D681="","",IFERROR(INDEX(Materiali!$B:$B,MATCH(D681,Materiali!$A:$A,0)),"codice?"))</f>
        <v/>
      </c>
      <c r="F681" s="13"/>
      <c r="G681" s="13"/>
      <c r="H681" s="9" t="str">
        <f aca="false">IF(D681="","",IFERROR(INDEX(Materiali!$C:$C,MATCH(D681,Materiali!$A:$A,0)),0))</f>
        <v/>
      </c>
      <c r="I681" s="9" t="str">
        <f aca="false">IF(OR(G681="",H681=""),"",IF(F681="Uscita",-1,1)*G681*H681)</f>
        <v/>
      </c>
      <c r="J681" s="13"/>
      <c r="K681" s="13"/>
    </row>
    <row r="682" customFormat="false" ht="15" hidden="false" customHeight="false" outlineLevel="0" collapsed="false">
      <c r="A682" s="12"/>
      <c r="B682" s="13"/>
      <c r="C682" s="13"/>
      <c r="D682" s="13"/>
      <c r="E682" s="7" t="str">
        <f aca="false">IF(D682="","",IFERROR(INDEX(Materiali!$B:$B,MATCH(D682,Materiali!$A:$A,0)),"codice?"))</f>
        <v/>
      </c>
      <c r="F682" s="13"/>
      <c r="G682" s="13"/>
      <c r="H682" s="9" t="str">
        <f aca="false">IF(D682="","",IFERROR(INDEX(Materiali!$C:$C,MATCH(D682,Materiali!$A:$A,0)),0))</f>
        <v/>
      </c>
      <c r="I682" s="9" t="str">
        <f aca="false">IF(OR(G682="",H682=""),"",IF(F682="Uscita",-1,1)*G682*H682)</f>
        <v/>
      </c>
      <c r="J682" s="13"/>
      <c r="K682" s="13"/>
    </row>
    <row r="683" customFormat="false" ht="15" hidden="false" customHeight="false" outlineLevel="0" collapsed="false">
      <c r="A683" s="12"/>
      <c r="B683" s="13"/>
      <c r="C683" s="13"/>
      <c r="D683" s="13"/>
      <c r="E683" s="7" t="str">
        <f aca="false">IF(D683="","",IFERROR(INDEX(Materiali!$B:$B,MATCH(D683,Materiali!$A:$A,0)),"codice?"))</f>
        <v/>
      </c>
      <c r="F683" s="13"/>
      <c r="G683" s="13"/>
      <c r="H683" s="9" t="str">
        <f aca="false">IF(D683="","",IFERROR(INDEX(Materiali!$C:$C,MATCH(D683,Materiali!$A:$A,0)),0))</f>
        <v/>
      </c>
      <c r="I683" s="9" t="str">
        <f aca="false">IF(OR(G683="",H683=""),"",IF(F683="Uscita",-1,1)*G683*H683)</f>
        <v/>
      </c>
      <c r="J683" s="13"/>
      <c r="K683" s="13"/>
    </row>
    <row r="684" customFormat="false" ht="15" hidden="false" customHeight="false" outlineLevel="0" collapsed="false">
      <c r="A684" s="12"/>
      <c r="B684" s="13"/>
      <c r="C684" s="13"/>
      <c r="D684" s="13"/>
      <c r="E684" s="7" t="str">
        <f aca="false">IF(D684="","",IFERROR(INDEX(Materiali!$B:$B,MATCH(D684,Materiali!$A:$A,0)),"codice?"))</f>
        <v/>
      </c>
      <c r="F684" s="13"/>
      <c r="G684" s="13"/>
      <c r="H684" s="9" t="str">
        <f aca="false">IF(D684="","",IFERROR(INDEX(Materiali!$C:$C,MATCH(D684,Materiali!$A:$A,0)),0))</f>
        <v/>
      </c>
      <c r="I684" s="9" t="str">
        <f aca="false">IF(OR(G684="",H684=""),"",IF(F684="Uscita",-1,1)*G684*H684)</f>
        <v/>
      </c>
      <c r="J684" s="13"/>
      <c r="K684" s="13"/>
    </row>
    <row r="685" customFormat="false" ht="15" hidden="false" customHeight="false" outlineLevel="0" collapsed="false">
      <c r="A685" s="12"/>
      <c r="B685" s="13"/>
      <c r="C685" s="13"/>
      <c r="D685" s="13"/>
      <c r="E685" s="7" t="str">
        <f aca="false">IF(D685="","",IFERROR(INDEX(Materiali!$B:$B,MATCH(D685,Materiali!$A:$A,0)),"codice?"))</f>
        <v/>
      </c>
      <c r="F685" s="13"/>
      <c r="G685" s="13"/>
      <c r="H685" s="9" t="str">
        <f aca="false">IF(D685="","",IFERROR(INDEX(Materiali!$C:$C,MATCH(D685,Materiali!$A:$A,0)),0))</f>
        <v/>
      </c>
      <c r="I685" s="9" t="str">
        <f aca="false">IF(OR(G685="",H685=""),"",IF(F685="Uscita",-1,1)*G685*H685)</f>
        <v/>
      </c>
      <c r="J685" s="13"/>
      <c r="K685" s="13"/>
    </row>
    <row r="686" customFormat="false" ht="15" hidden="false" customHeight="false" outlineLevel="0" collapsed="false">
      <c r="A686" s="12"/>
      <c r="B686" s="13"/>
      <c r="C686" s="13"/>
      <c r="D686" s="13"/>
      <c r="E686" s="7" t="str">
        <f aca="false">IF(D686="","",IFERROR(INDEX(Materiali!$B:$B,MATCH(D686,Materiali!$A:$A,0)),"codice?"))</f>
        <v/>
      </c>
      <c r="F686" s="13"/>
      <c r="G686" s="13"/>
      <c r="H686" s="9" t="str">
        <f aca="false">IF(D686="","",IFERROR(INDEX(Materiali!$C:$C,MATCH(D686,Materiali!$A:$A,0)),0))</f>
        <v/>
      </c>
      <c r="I686" s="9" t="str">
        <f aca="false">IF(OR(G686="",H686=""),"",IF(F686="Uscita",-1,1)*G686*H686)</f>
        <v/>
      </c>
      <c r="J686" s="13"/>
      <c r="K686" s="13"/>
    </row>
    <row r="687" customFormat="false" ht="15" hidden="false" customHeight="false" outlineLevel="0" collapsed="false">
      <c r="A687" s="12"/>
      <c r="B687" s="13"/>
      <c r="C687" s="13"/>
      <c r="D687" s="13"/>
      <c r="E687" s="7" t="str">
        <f aca="false">IF(D687="","",IFERROR(INDEX(Materiali!$B:$B,MATCH(D687,Materiali!$A:$A,0)),"codice?"))</f>
        <v/>
      </c>
      <c r="F687" s="13"/>
      <c r="G687" s="13"/>
      <c r="H687" s="9" t="str">
        <f aca="false">IF(D687="","",IFERROR(INDEX(Materiali!$C:$C,MATCH(D687,Materiali!$A:$A,0)),0))</f>
        <v/>
      </c>
      <c r="I687" s="9" t="str">
        <f aca="false">IF(OR(G687="",H687=""),"",IF(F687="Uscita",-1,1)*G687*H687)</f>
        <v/>
      </c>
      <c r="J687" s="13"/>
      <c r="K687" s="13"/>
    </row>
    <row r="688" customFormat="false" ht="15" hidden="false" customHeight="false" outlineLevel="0" collapsed="false">
      <c r="A688" s="12"/>
      <c r="B688" s="13"/>
      <c r="C688" s="13"/>
      <c r="D688" s="13"/>
      <c r="E688" s="7" t="str">
        <f aca="false">IF(D688="","",IFERROR(INDEX(Materiali!$B:$B,MATCH(D688,Materiali!$A:$A,0)),"codice?"))</f>
        <v/>
      </c>
      <c r="F688" s="13"/>
      <c r="G688" s="13"/>
      <c r="H688" s="9" t="str">
        <f aca="false">IF(D688="","",IFERROR(INDEX(Materiali!$C:$C,MATCH(D688,Materiali!$A:$A,0)),0))</f>
        <v/>
      </c>
      <c r="I688" s="9" t="str">
        <f aca="false">IF(OR(G688="",H688=""),"",IF(F688="Uscita",-1,1)*G688*H688)</f>
        <v/>
      </c>
      <c r="J688" s="13"/>
      <c r="K688" s="13"/>
    </row>
    <row r="689" customFormat="false" ht="15" hidden="false" customHeight="false" outlineLevel="0" collapsed="false">
      <c r="A689" s="12"/>
      <c r="B689" s="13"/>
      <c r="C689" s="13"/>
      <c r="D689" s="13"/>
      <c r="E689" s="7" t="str">
        <f aca="false">IF(D689="","",IFERROR(INDEX(Materiali!$B:$B,MATCH(D689,Materiali!$A:$A,0)),"codice?"))</f>
        <v/>
      </c>
      <c r="F689" s="13"/>
      <c r="G689" s="13"/>
      <c r="H689" s="9" t="str">
        <f aca="false">IF(D689="","",IFERROR(INDEX(Materiali!$C:$C,MATCH(D689,Materiali!$A:$A,0)),0))</f>
        <v/>
      </c>
      <c r="I689" s="9" t="str">
        <f aca="false">IF(OR(G689="",H689=""),"",IF(F689="Uscita",-1,1)*G689*H689)</f>
        <v/>
      </c>
      <c r="J689" s="13"/>
      <c r="K689" s="13"/>
    </row>
    <row r="690" customFormat="false" ht="15" hidden="false" customHeight="false" outlineLevel="0" collapsed="false">
      <c r="A690" s="12"/>
      <c r="B690" s="13"/>
      <c r="C690" s="13"/>
      <c r="D690" s="13"/>
      <c r="E690" s="7" t="str">
        <f aca="false">IF(D690="","",IFERROR(INDEX(Materiali!$B:$B,MATCH(D690,Materiali!$A:$A,0)),"codice?"))</f>
        <v/>
      </c>
      <c r="F690" s="13"/>
      <c r="G690" s="13"/>
      <c r="H690" s="9" t="str">
        <f aca="false">IF(D690="","",IFERROR(INDEX(Materiali!$C:$C,MATCH(D690,Materiali!$A:$A,0)),0))</f>
        <v/>
      </c>
      <c r="I690" s="9" t="str">
        <f aca="false">IF(OR(G690="",H690=""),"",IF(F690="Uscita",-1,1)*G690*H690)</f>
        <v/>
      </c>
      <c r="J690" s="13"/>
      <c r="K690" s="13"/>
    </row>
    <row r="691" customFormat="false" ht="15" hidden="false" customHeight="false" outlineLevel="0" collapsed="false">
      <c r="A691" s="12"/>
      <c r="B691" s="13"/>
      <c r="C691" s="13"/>
      <c r="D691" s="13"/>
      <c r="E691" s="7" t="str">
        <f aca="false">IF(D691="","",IFERROR(INDEX(Materiali!$B:$B,MATCH(D691,Materiali!$A:$A,0)),"codice?"))</f>
        <v/>
      </c>
      <c r="F691" s="13"/>
      <c r="G691" s="13"/>
      <c r="H691" s="9" t="str">
        <f aca="false">IF(D691="","",IFERROR(INDEX(Materiali!$C:$C,MATCH(D691,Materiali!$A:$A,0)),0))</f>
        <v/>
      </c>
      <c r="I691" s="9" t="str">
        <f aca="false">IF(OR(G691="",H691=""),"",IF(F691="Uscita",-1,1)*G691*H691)</f>
        <v/>
      </c>
      <c r="J691" s="13"/>
      <c r="K691" s="13"/>
    </row>
    <row r="692" customFormat="false" ht="15" hidden="false" customHeight="false" outlineLevel="0" collapsed="false">
      <c r="A692" s="12"/>
      <c r="B692" s="13"/>
      <c r="C692" s="13"/>
      <c r="D692" s="13"/>
      <c r="E692" s="7" t="str">
        <f aca="false">IF(D692="","",IFERROR(INDEX(Materiali!$B:$B,MATCH(D692,Materiali!$A:$A,0)),"codice?"))</f>
        <v/>
      </c>
      <c r="F692" s="13"/>
      <c r="G692" s="13"/>
      <c r="H692" s="9" t="str">
        <f aca="false">IF(D692="","",IFERROR(INDEX(Materiali!$C:$C,MATCH(D692,Materiali!$A:$A,0)),0))</f>
        <v/>
      </c>
      <c r="I692" s="9" t="str">
        <f aca="false">IF(OR(G692="",H692=""),"",IF(F692="Uscita",-1,1)*G692*H692)</f>
        <v/>
      </c>
      <c r="J692" s="13"/>
      <c r="K692" s="13"/>
    </row>
    <row r="693" customFormat="false" ht="15" hidden="false" customHeight="false" outlineLevel="0" collapsed="false">
      <c r="A693" s="12"/>
      <c r="B693" s="13"/>
      <c r="C693" s="13"/>
      <c r="D693" s="13"/>
      <c r="E693" s="7" t="str">
        <f aca="false">IF(D693="","",IFERROR(INDEX(Materiali!$B:$B,MATCH(D693,Materiali!$A:$A,0)),"codice?"))</f>
        <v/>
      </c>
      <c r="F693" s="13"/>
      <c r="G693" s="13"/>
      <c r="H693" s="9" t="str">
        <f aca="false">IF(D693="","",IFERROR(INDEX(Materiali!$C:$C,MATCH(D693,Materiali!$A:$A,0)),0))</f>
        <v/>
      </c>
      <c r="I693" s="9" t="str">
        <f aca="false">IF(OR(G693="",H693=""),"",IF(F693="Uscita",-1,1)*G693*H693)</f>
        <v/>
      </c>
      <c r="J693" s="13"/>
      <c r="K693" s="13"/>
    </row>
    <row r="694" customFormat="false" ht="15" hidden="false" customHeight="false" outlineLevel="0" collapsed="false">
      <c r="A694" s="12"/>
      <c r="B694" s="13"/>
      <c r="C694" s="13"/>
      <c r="D694" s="13"/>
      <c r="E694" s="7" t="str">
        <f aca="false">IF(D694="","",IFERROR(INDEX(Materiali!$B:$B,MATCH(D694,Materiali!$A:$A,0)),"codice?"))</f>
        <v/>
      </c>
      <c r="F694" s="13"/>
      <c r="G694" s="13"/>
      <c r="H694" s="9" t="str">
        <f aca="false">IF(D694="","",IFERROR(INDEX(Materiali!$C:$C,MATCH(D694,Materiali!$A:$A,0)),0))</f>
        <v/>
      </c>
      <c r="I694" s="9" t="str">
        <f aca="false">IF(OR(G694="",H694=""),"",IF(F694="Uscita",-1,1)*G694*H694)</f>
        <v/>
      </c>
      <c r="J694" s="13"/>
      <c r="K694" s="13"/>
    </row>
    <row r="695" customFormat="false" ht="15" hidden="false" customHeight="false" outlineLevel="0" collapsed="false">
      <c r="A695" s="12"/>
      <c r="B695" s="13"/>
      <c r="C695" s="13"/>
      <c r="D695" s="13"/>
      <c r="E695" s="7" t="str">
        <f aca="false">IF(D695="","",IFERROR(INDEX(Materiali!$B:$B,MATCH(D695,Materiali!$A:$A,0)),"codice?"))</f>
        <v/>
      </c>
      <c r="F695" s="13"/>
      <c r="G695" s="13"/>
      <c r="H695" s="9" t="str">
        <f aca="false">IF(D695="","",IFERROR(INDEX(Materiali!$C:$C,MATCH(D695,Materiali!$A:$A,0)),0))</f>
        <v/>
      </c>
      <c r="I695" s="9" t="str">
        <f aca="false">IF(OR(G695="",H695=""),"",IF(F695="Uscita",-1,1)*G695*H695)</f>
        <v/>
      </c>
      <c r="J695" s="13"/>
      <c r="K695" s="13"/>
    </row>
    <row r="696" customFormat="false" ht="15" hidden="false" customHeight="false" outlineLevel="0" collapsed="false">
      <c r="A696" s="12"/>
      <c r="B696" s="13"/>
      <c r="C696" s="13"/>
      <c r="D696" s="13"/>
      <c r="E696" s="7" t="str">
        <f aca="false">IF(D696="","",IFERROR(INDEX(Materiali!$B:$B,MATCH(D696,Materiali!$A:$A,0)),"codice?"))</f>
        <v/>
      </c>
      <c r="F696" s="13"/>
      <c r="G696" s="13"/>
      <c r="H696" s="9" t="str">
        <f aca="false">IF(D696="","",IFERROR(INDEX(Materiali!$C:$C,MATCH(D696,Materiali!$A:$A,0)),0))</f>
        <v/>
      </c>
      <c r="I696" s="9" t="str">
        <f aca="false">IF(OR(G696="",H696=""),"",IF(F696="Uscita",-1,1)*G696*H696)</f>
        <v/>
      </c>
      <c r="J696" s="13"/>
      <c r="K696" s="13"/>
    </row>
    <row r="697" customFormat="false" ht="15" hidden="false" customHeight="false" outlineLevel="0" collapsed="false">
      <c r="A697" s="12"/>
      <c r="B697" s="13"/>
      <c r="C697" s="13"/>
      <c r="D697" s="13"/>
      <c r="E697" s="7" t="str">
        <f aca="false">IF(D697="","",IFERROR(INDEX(Materiali!$B:$B,MATCH(D697,Materiali!$A:$A,0)),"codice?"))</f>
        <v/>
      </c>
      <c r="F697" s="13"/>
      <c r="G697" s="13"/>
      <c r="H697" s="9" t="str">
        <f aca="false">IF(D697="","",IFERROR(INDEX(Materiali!$C:$C,MATCH(D697,Materiali!$A:$A,0)),0))</f>
        <v/>
      </c>
      <c r="I697" s="9" t="str">
        <f aca="false">IF(OR(G697="",H697=""),"",IF(F697="Uscita",-1,1)*G697*H697)</f>
        <v/>
      </c>
      <c r="J697" s="13"/>
      <c r="K697" s="13"/>
    </row>
    <row r="698" customFormat="false" ht="15" hidden="false" customHeight="false" outlineLevel="0" collapsed="false">
      <c r="A698" s="12"/>
      <c r="B698" s="13"/>
      <c r="C698" s="13"/>
      <c r="D698" s="13"/>
      <c r="E698" s="7" t="str">
        <f aca="false">IF(D698="","",IFERROR(INDEX(Materiali!$B:$B,MATCH(D698,Materiali!$A:$A,0)),"codice?"))</f>
        <v/>
      </c>
      <c r="F698" s="13"/>
      <c r="G698" s="13"/>
      <c r="H698" s="9" t="str">
        <f aca="false">IF(D698="","",IFERROR(INDEX(Materiali!$C:$C,MATCH(D698,Materiali!$A:$A,0)),0))</f>
        <v/>
      </c>
      <c r="I698" s="9" t="str">
        <f aca="false">IF(OR(G698="",H698=""),"",IF(F698="Uscita",-1,1)*G698*H698)</f>
        <v/>
      </c>
      <c r="J698" s="13"/>
      <c r="K698" s="13"/>
    </row>
    <row r="699" customFormat="false" ht="15" hidden="false" customHeight="false" outlineLevel="0" collapsed="false">
      <c r="A699" s="12"/>
      <c r="B699" s="13"/>
      <c r="C699" s="13"/>
      <c r="D699" s="13"/>
      <c r="E699" s="7" t="str">
        <f aca="false">IF(D699="","",IFERROR(INDEX(Materiali!$B:$B,MATCH(D699,Materiali!$A:$A,0)),"codice?"))</f>
        <v/>
      </c>
      <c r="F699" s="13"/>
      <c r="G699" s="13"/>
      <c r="H699" s="9" t="str">
        <f aca="false">IF(D699="","",IFERROR(INDEX(Materiali!$C:$C,MATCH(D699,Materiali!$A:$A,0)),0))</f>
        <v/>
      </c>
      <c r="I699" s="9" t="str">
        <f aca="false">IF(OR(G699="",H699=""),"",IF(F699="Uscita",-1,1)*G699*H699)</f>
        <v/>
      </c>
      <c r="J699" s="13"/>
      <c r="K699" s="13"/>
    </row>
    <row r="700" customFormat="false" ht="15" hidden="false" customHeight="false" outlineLevel="0" collapsed="false">
      <c r="A700" s="12"/>
      <c r="B700" s="13"/>
      <c r="C700" s="13"/>
      <c r="D700" s="13"/>
      <c r="E700" s="7" t="str">
        <f aca="false">IF(D700="","",IFERROR(INDEX(Materiali!$B:$B,MATCH(D700,Materiali!$A:$A,0)),"codice?"))</f>
        <v/>
      </c>
      <c r="F700" s="13"/>
      <c r="G700" s="13"/>
      <c r="H700" s="9" t="str">
        <f aca="false">IF(D700="","",IFERROR(INDEX(Materiali!$C:$C,MATCH(D700,Materiali!$A:$A,0)),0))</f>
        <v/>
      </c>
      <c r="I700" s="9" t="str">
        <f aca="false">IF(OR(G700="",H700=""),"",IF(F700="Uscita",-1,1)*G700*H700)</f>
        <v/>
      </c>
      <c r="J700" s="13"/>
      <c r="K700" s="13"/>
    </row>
    <row r="701" customFormat="false" ht="15" hidden="false" customHeight="false" outlineLevel="0" collapsed="false">
      <c r="A701" s="12"/>
      <c r="B701" s="13"/>
      <c r="C701" s="13"/>
      <c r="D701" s="13"/>
      <c r="E701" s="7" t="str">
        <f aca="false">IF(D701="","",IFERROR(INDEX(Materiali!$B:$B,MATCH(D701,Materiali!$A:$A,0)),"codice?"))</f>
        <v/>
      </c>
      <c r="F701" s="13"/>
      <c r="G701" s="13"/>
      <c r="H701" s="9" t="str">
        <f aca="false">IF(D701="","",IFERROR(INDEX(Materiali!$C:$C,MATCH(D701,Materiali!$A:$A,0)),0))</f>
        <v/>
      </c>
      <c r="I701" s="9" t="str">
        <f aca="false">IF(OR(G701="",H701=""),"",IF(F701="Uscita",-1,1)*G701*H701)</f>
        <v/>
      </c>
      <c r="J701" s="13"/>
      <c r="K701" s="13"/>
    </row>
    <row r="702" customFormat="false" ht="15" hidden="false" customHeight="false" outlineLevel="0" collapsed="false">
      <c r="A702" s="12"/>
      <c r="B702" s="13"/>
      <c r="C702" s="13"/>
      <c r="D702" s="13"/>
      <c r="E702" s="7" t="str">
        <f aca="false">IF(D702="","",IFERROR(INDEX(Materiali!$B:$B,MATCH(D702,Materiali!$A:$A,0)),"codice?"))</f>
        <v/>
      </c>
      <c r="F702" s="13"/>
      <c r="G702" s="13"/>
      <c r="H702" s="9" t="str">
        <f aca="false">IF(D702="","",IFERROR(INDEX(Materiali!$C:$C,MATCH(D702,Materiali!$A:$A,0)),0))</f>
        <v/>
      </c>
      <c r="I702" s="9" t="str">
        <f aca="false">IF(OR(G702="",H702=""),"",IF(F702="Uscita",-1,1)*G702*H702)</f>
        <v/>
      </c>
      <c r="J702" s="13"/>
      <c r="K702" s="13"/>
    </row>
    <row r="703" customFormat="false" ht="15" hidden="false" customHeight="false" outlineLevel="0" collapsed="false">
      <c r="A703" s="12"/>
      <c r="B703" s="13"/>
      <c r="C703" s="13"/>
      <c r="D703" s="13"/>
      <c r="E703" s="7" t="str">
        <f aca="false">IF(D703="","",IFERROR(INDEX(Materiali!$B:$B,MATCH(D703,Materiali!$A:$A,0)),"codice?"))</f>
        <v/>
      </c>
      <c r="F703" s="13"/>
      <c r="G703" s="13"/>
      <c r="H703" s="9" t="str">
        <f aca="false">IF(D703="","",IFERROR(INDEX(Materiali!$C:$C,MATCH(D703,Materiali!$A:$A,0)),0))</f>
        <v/>
      </c>
      <c r="I703" s="9" t="str">
        <f aca="false">IF(OR(G703="",H703=""),"",IF(F703="Uscita",-1,1)*G703*H703)</f>
        <v/>
      </c>
      <c r="J703" s="13"/>
      <c r="K703" s="13"/>
    </row>
    <row r="704" customFormat="false" ht="15" hidden="false" customHeight="false" outlineLevel="0" collapsed="false">
      <c r="A704" s="12"/>
      <c r="B704" s="13"/>
      <c r="C704" s="13"/>
      <c r="D704" s="13"/>
      <c r="E704" s="7" t="str">
        <f aca="false">IF(D704="","",IFERROR(INDEX(Materiali!$B:$B,MATCH(D704,Materiali!$A:$A,0)),"codice?"))</f>
        <v/>
      </c>
      <c r="F704" s="13"/>
      <c r="G704" s="13"/>
      <c r="H704" s="9" t="str">
        <f aca="false">IF(D704="","",IFERROR(INDEX(Materiali!$C:$C,MATCH(D704,Materiali!$A:$A,0)),0))</f>
        <v/>
      </c>
      <c r="I704" s="9" t="str">
        <f aca="false">IF(OR(G704="",H704=""),"",IF(F704="Uscita",-1,1)*G704*H704)</f>
        <v/>
      </c>
      <c r="J704" s="13"/>
      <c r="K704" s="13"/>
    </row>
    <row r="705" customFormat="false" ht="15" hidden="false" customHeight="false" outlineLevel="0" collapsed="false">
      <c r="A705" s="12"/>
      <c r="B705" s="13"/>
      <c r="C705" s="13"/>
      <c r="D705" s="13"/>
      <c r="E705" s="7" t="str">
        <f aca="false">IF(D705="","",IFERROR(INDEX(Materiali!$B:$B,MATCH(D705,Materiali!$A:$A,0)),"codice?"))</f>
        <v/>
      </c>
      <c r="F705" s="13"/>
      <c r="G705" s="13"/>
      <c r="H705" s="9" t="str">
        <f aca="false">IF(D705="","",IFERROR(INDEX(Materiali!$C:$C,MATCH(D705,Materiali!$A:$A,0)),0))</f>
        <v/>
      </c>
      <c r="I705" s="9" t="str">
        <f aca="false">IF(OR(G705="",H705=""),"",IF(F705="Uscita",-1,1)*G705*H705)</f>
        <v/>
      </c>
      <c r="J705" s="13"/>
      <c r="K705" s="13"/>
    </row>
    <row r="706" customFormat="false" ht="15" hidden="false" customHeight="false" outlineLevel="0" collapsed="false">
      <c r="A706" s="12"/>
      <c r="B706" s="13"/>
      <c r="C706" s="13"/>
      <c r="D706" s="13"/>
      <c r="E706" s="7" t="str">
        <f aca="false">IF(D706="","",IFERROR(INDEX(Materiali!$B:$B,MATCH(D706,Materiali!$A:$A,0)),"codice?"))</f>
        <v/>
      </c>
      <c r="F706" s="13"/>
      <c r="G706" s="13"/>
      <c r="H706" s="9" t="str">
        <f aca="false">IF(D706="","",IFERROR(INDEX(Materiali!$C:$C,MATCH(D706,Materiali!$A:$A,0)),0))</f>
        <v/>
      </c>
      <c r="I706" s="9" t="str">
        <f aca="false">IF(OR(G706="",H706=""),"",IF(F706="Uscita",-1,1)*G706*H706)</f>
        <v/>
      </c>
      <c r="J706" s="13"/>
      <c r="K706" s="13"/>
    </row>
    <row r="707" customFormat="false" ht="15" hidden="false" customHeight="false" outlineLevel="0" collapsed="false">
      <c r="A707" s="12"/>
      <c r="B707" s="13"/>
      <c r="C707" s="13"/>
      <c r="D707" s="13"/>
      <c r="E707" s="7" t="str">
        <f aca="false">IF(D707="","",IFERROR(INDEX(Materiali!$B:$B,MATCH(D707,Materiali!$A:$A,0)),"codice?"))</f>
        <v/>
      </c>
      <c r="F707" s="13"/>
      <c r="G707" s="13"/>
      <c r="H707" s="9" t="str">
        <f aca="false">IF(D707="","",IFERROR(INDEX(Materiali!$C:$C,MATCH(D707,Materiali!$A:$A,0)),0))</f>
        <v/>
      </c>
      <c r="I707" s="9" t="str">
        <f aca="false">IF(OR(G707="",H707=""),"",IF(F707="Uscita",-1,1)*G707*H707)</f>
        <v/>
      </c>
      <c r="J707" s="13"/>
      <c r="K707" s="13"/>
    </row>
    <row r="708" customFormat="false" ht="15" hidden="false" customHeight="false" outlineLevel="0" collapsed="false">
      <c r="A708" s="12"/>
      <c r="B708" s="13"/>
      <c r="C708" s="13"/>
      <c r="D708" s="13"/>
      <c r="E708" s="7" t="str">
        <f aca="false">IF(D708="","",IFERROR(INDEX(Materiali!$B:$B,MATCH(D708,Materiali!$A:$A,0)),"codice?"))</f>
        <v/>
      </c>
      <c r="F708" s="13"/>
      <c r="G708" s="13"/>
      <c r="H708" s="9" t="str">
        <f aca="false">IF(D708="","",IFERROR(INDEX(Materiali!$C:$C,MATCH(D708,Materiali!$A:$A,0)),0))</f>
        <v/>
      </c>
      <c r="I708" s="9" t="str">
        <f aca="false">IF(OR(G708="",H708=""),"",IF(F708="Uscita",-1,1)*G708*H708)</f>
        <v/>
      </c>
      <c r="J708" s="13"/>
      <c r="K708" s="13"/>
    </row>
    <row r="709" customFormat="false" ht="15" hidden="false" customHeight="false" outlineLevel="0" collapsed="false">
      <c r="A709" s="12"/>
      <c r="B709" s="13"/>
      <c r="C709" s="13"/>
      <c r="D709" s="13"/>
      <c r="E709" s="7" t="str">
        <f aca="false">IF(D709="","",IFERROR(INDEX(Materiali!$B:$B,MATCH(D709,Materiali!$A:$A,0)),"codice?"))</f>
        <v/>
      </c>
      <c r="F709" s="13"/>
      <c r="G709" s="13"/>
      <c r="H709" s="9" t="str">
        <f aca="false">IF(D709="","",IFERROR(INDEX(Materiali!$C:$C,MATCH(D709,Materiali!$A:$A,0)),0))</f>
        <v/>
      </c>
      <c r="I709" s="9" t="str">
        <f aca="false">IF(OR(G709="",H709=""),"",IF(F709="Uscita",-1,1)*G709*H709)</f>
        <v/>
      </c>
      <c r="J709" s="13"/>
      <c r="K709" s="13"/>
    </row>
    <row r="710" customFormat="false" ht="15" hidden="false" customHeight="false" outlineLevel="0" collapsed="false">
      <c r="A710" s="12"/>
      <c r="B710" s="13"/>
      <c r="C710" s="13"/>
      <c r="D710" s="13"/>
      <c r="E710" s="7" t="str">
        <f aca="false">IF(D710="","",IFERROR(INDEX(Materiali!$B:$B,MATCH(D710,Materiali!$A:$A,0)),"codice?"))</f>
        <v/>
      </c>
      <c r="F710" s="13"/>
      <c r="G710" s="13"/>
      <c r="H710" s="9" t="str">
        <f aca="false">IF(D710="","",IFERROR(INDEX(Materiali!$C:$C,MATCH(D710,Materiali!$A:$A,0)),0))</f>
        <v/>
      </c>
      <c r="I710" s="9" t="str">
        <f aca="false">IF(OR(G710="",H710=""),"",IF(F710="Uscita",-1,1)*G710*H710)</f>
        <v/>
      </c>
      <c r="J710" s="13"/>
      <c r="K710" s="13"/>
    </row>
    <row r="711" customFormat="false" ht="15" hidden="false" customHeight="false" outlineLevel="0" collapsed="false">
      <c r="A711" s="12"/>
      <c r="B711" s="13"/>
      <c r="C711" s="13"/>
      <c r="D711" s="13"/>
      <c r="E711" s="7" t="str">
        <f aca="false">IF(D711="","",IFERROR(INDEX(Materiali!$B:$B,MATCH(D711,Materiali!$A:$A,0)),"codice?"))</f>
        <v/>
      </c>
      <c r="F711" s="13"/>
      <c r="G711" s="13"/>
      <c r="H711" s="9" t="str">
        <f aca="false">IF(D711="","",IFERROR(INDEX(Materiali!$C:$C,MATCH(D711,Materiali!$A:$A,0)),0))</f>
        <v/>
      </c>
      <c r="I711" s="9" t="str">
        <f aca="false">IF(OR(G711="",H711=""),"",IF(F711="Uscita",-1,1)*G711*H711)</f>
        <v/>
      </c>
      <c r="J711" s="13"/>
      <c r="K711" s="13"/>
    </row>
    <row r="712" customFormat="false" ht="15" hidden="false" customHeight="false" outlineLevel="0" collapsed="false">
      <c r="A712" s="12"/>
      <c r="B712" s="13"/>
      <c r="C712" s="13"/>
      <c r="D712" s="13"/>
      <c r="E712" s="7" t="str">
        <f aca="false">IF(D712="","",IFERROR(INDEX(Materiali!$B:$B,MATCH(D712,Materiali!$A:$A,0)),"codice?"))</f>
        <v/>
      </c>
      <c r="F712" s="13"/>
      <c r="G712" s="13"/>
      <c r="H712" s="9" t="str">
        <f aca="false">IF(D712="","",IFERROR(INDEX(Materiali!$C:$C,MATCH(D712,Materiali!$A:$A,0)),0))</f>
        <v/>
      </c>
      <c r="I712" s="9" t="str">
        <f aca="false">IF(OR(G712="",H712=""),"",IF(F712="Uscita",-1,1)*G712*H712)</f>
        <v/>
      </c>
      <c r="J712" s="13"/>
      <c r="K712" s="13"/>
    </row>
    <row r="713" customFormat="false" ht="15" hidden="false" customHeight="false" outlineLevel="0" collapsed="false">
      <c r="A713" s="12"/>
      <c r="B713" s="13"/>
      <c r="C713" s="13"/>
      <c r="D713" s="13"/>
      <c r="E713" s="7" t="str">
        <f aca="false">IF(D713="","",IFERROR(INDEX(Materiali!$B:$B,MATCH(D713,Materiali!$A:$A,0)),"codice?"))</f>
        <v/>
      </c>
      <c r="F713" s="13"/>
      <c r="G713" s="13"/>
      <c r="H713" s="9" t="str">
        <f aca="false">IF(D713="","",IFERROR(INDEX(Materiali!$C:$C,MATCH(D713,Materiali!$A:$A,0)),0))</f>
        <v/>
      </c>
      <c r="I713" s="9" t="str">
        <f aca="false">IF(OR(G713="",H713=""),"",IF(F713="Uscita",-1,1)*G713*H713)</f>
        <v/>
      </c>
      <c r="J713" s="13"/>
      <c r="K713" s="13"/>
    </row>
    <row r="714" customFormat="false" ht="15" hidden="false" customHeight="false" outlineLevel="0" collapsed="false">
      <c r="A714" s="12"/>
      <c r="B714" s="13"/>
      <c r="C714" s="13"/>
      <c r="D714" s="13"/>
      <c r="E714" s="7" t="str">
        <f aca="false">IF(D714="","",IFERROR(INDEX(Materiali!$B:$B,MATCH(D714,Materiali!$A:$A,0)),"codice?"))</f>
        <v/>
      </c>
      <c r="F714" s="13"/>
      <c r="G714" s="13"/>
      <c r="H714" s="9" t="str">
        <f aca="false">IF(D714="","",IFERROR(INDEX(Materiali!$C:$C,MATCH(D714,Materiali!$A:$A,0)),0))</f>
        <v/>
      </c>
      <c r="I714" s="9" t="str">
        <f aca="false">IF(OR(G714="",H714=""),"",IF(F714="Uscita",-1,1)*G714*H714)</f>
        <v/>
      </c>
      <c r="J714" s="13"/>
      <c r="K714" s="13"/>
    </row>
    <row r="715" customFormat="false" ht="15" hidden="false" customHeight="false" outlineLevel="0" collapsed="false">
      <c r="A715" s="12"/>
      <c r="B715" s="13"/>
      <c r="C715" s="13"/>
      <c r="D715" s="13"/>
      <c r="E715" s="7" t="str">
        <f aca="false">IF(D715="","",IFERROR(INDEX(Materiali!$B:$B,MATCH(D715,Materiali!$A:$A,0)),"codice?"))</f>
        <v/>
      </c>
      <c r="F715" s="13"/>
      <c r="G715" s="13"/>
      <c r="H715" s="9" t="str">
        <f aca="false">IF(D715="","",IFERROR(INDEX(Materiali!$C:$C,MATCH(D715,Materiali!$A:$A,0)),0))</f>
        <v/>
      </c>
      <c r="I715" s="9" t="str">
        <f aca="false">IF(OR(G715="",H715=""),"",IF(F715="Uscita",-1,1)*G715*H715)</f>
        <v/>
      </c>
      <c r="J715" s="13"/>
      <c r="K715" s="13"/>
    </row>
    <row r="716" customFormat="false" ht="15" hidden="false" customHeight="false" outlineLevel="0" collapsed="false">
      <c r="A716" s="12"/>
      <c r="B716" s="13"/>
      <c r="C716" s="13"/>
      <c r="D716" s="13"/>
      <c r="E716" s="7" t="str">
        <f aca="false">IF(D716="","",IFERROR(INDEX(Materiali!$B:$B,MATCH(D716,Materiali!$A:$A,0)),"codice?"))</f>
        <v/>
      </c>
      <c r="F716" s="13"/>
      <c r="G716" s="13"/>
      <c r="H716" s="9" t="str">
        <f aca="false">IF(D716="","",IFERROR(INDEX(Materiali!$C:$C,MATCH(D716,Materiali!$A:$A,0)),0))</f>
        <v/>
      </c>
      <c r="I716" s="9" t="str">
        <f aca="false">IF(OR(G716="",H716=""),"",IF(F716="Uscita",-1,1)*G716*H716)</f>
        <v/>
      </c>
      <c r="J716" s="13"/>
      <c r="K716" s="13"/>
    </row>
    <row r="717" customFormat="false" ht="15" hidden="false" customHeight="false" outlineLevel="0" collapsed="false">
      <c r="A717" s="12"/>
      <c r="B717" s="13"/>
      <c r="C717" s="13"/>
      <c r="D717" s="13"/>
      <c r="E717" s="7" t="str">
        <f aca="false">IF(D717="","",IFERROR(INDEX(Materiali!$B:$B,MATCH(D717,Materiali!$A:$A,0)),"codice?"))</f>
        <v/>
      </c>
      <c r="F717" s="13"/>
      <c r="G717" s="13"/>
      <c r="H717" s="9" t="str">
        <f aca="false">IF(D717="","",IFERROR(INDEX(Materiali!$C:$C,MATCH(D717,Materiali!$A:$A,0)),0))</f>
        <v/>
      </c>
      <c r="I717" s="9" t="str">
        <f aca="false">IF(OR(G717="",H717=""),"",IF(F717="Uscita",-1,1)*G717*H717)</f>
        <v/>
      </c>
      <c r="J717" s="13"/>
      <c r="K717" s="13"/>
    </row>
    <row r="718" customFormat="false" ht="15" hidden="false" customHeight="false" outlineLevel="0" collapsed="false">
      <c r="A718" s="12"/>
      <c r="B718" s="13"/>
      <c r="C718" s="13"/>
      <c r="D718" s="13"/>
      <c r="E718" s="7" t="str">
        <f aca="false">IF(D718="","",IFERROR(INDEX(Materiali!$B:$B,MATCH(D718,Materiali!$A:$A,0)),"codice?"))</f>
        <v/>
      </c>
      <c r="F718" s="13"/>
      <c r="G718" s="13"/>
      <c r="H718" s="9" t="str">
        <f aca="false">IF(D718="","",IFERROR(INDEX(Materiali!$C:$C,MATCH(D718,Materiali!$A:$A,0)),0))</f>
        <v/>
      </c>
      <c r="I718" s="9" t="str">
        <f aca="false">IF(OR(G718="",H718=""),"",IF(F718="Uscita",-1,1)*G718*H718)</f>
        <v/>
      </c>
      <c r="J718" s="13"/>
      <c r="K718" s="13"/>
    </row>
    <row r="719" customFormat="false" ht="15" hidden="false" customHeight="false" outlineLevel="0" collapsed="false">
      <c r="A719" s="12"/>
      <c r="B719" s="13"/>
      <c r="C719" s="13"/>
      <c r="D719" s="13"/>
      <c r="E719" s="7" t="str">
        <f aca="false">IF(D719="","",IFERROR(INDEX(Materiali!$B:$B,MATCH(D719,Materiali!$A:$A,0)),"codice?"))</f>
        <v/>
      </c>
      <c r="F719" s="13"/>
      <c r="G719" s="13"/>
      <c r="H719" s="9" t="str">
        <f aca="false">IF(D719="","",IFERROR(INDEX(Materiali!$C:$C,MATCH(D719,Materiali!$A:$A,0)),0))</f>
        <v/>
      </c>
      <c r="I719" s="9" t="str">
        <f aca="false">IF(OR(G719="",H719=""),"",IF(F719="Uscita",-1,1)*G719*H719)</f>
        <v/>
      </c>
      <c r="J719" s="13"/>
      <c r="K719" s="13"/>
    </row>
    <row r="720" customFormat="false" ht="15" hidden="false" customHeight="false" outlineLevel="0" collapsed="false">
      <c r="A720" s="12"/>
      <c r="B720" s="13"/>
      <c r="C720" s="13"/>
      <c r="D720" s="13"/>
      <c r="E720" s="7" t="str">
        <f aca="false">IF(D720="","",IFERROR(INDEX(Materiali!$B:$B,MATCH(D720,Materiali!$A:$A,0)),"codice?"))</f>
        <v/>
      </c>
      <c r="F720" s="13"/>
      <c r="G720" s="13"/>
      <c r="H720" s="9" t="str">
        <f aca="false">IF(D720="","",IFERROR(INDEX(Materiali!$C:$C,MATCH(D720,Materiali!$A:$A,0)),0))</f>
        <v/>
      </c>
      <c r="I720" s="9" t="str">
        <f aca="false">IF(OR(G720="",H720=""),"",IF(F720="Uscita",-1,1)*G720*H720)</f>
        <v/>
      </c>
      <c r="J720" s="13"/>
      <c r="K720" s="13"/>
    </row>
    <row r="721" customFormat="false" ht="15" hidden="false" customHeight="false" outlineLevel="0" collapsed="false">
      <c r="A721" s="12"/>
      <c r="B721" s="13"/>
      <c r="C721" s="13"/>
      <c r="D721" s="13"/>
      <c r="E721" s="7" t="str">
        <f aca="false">IF(D721="","",IFERROR(INDEX(Materiali!$B:$B,MATCH(D721,Materiali!$A:$A,0)),"codice?"))</f>
        <v/>
      </c>
      <c r="F721" s="13"/>
      <c r="G721" s="13"/>
      <c r="H721" s="9" t="str">
        <f aca="false">IF(D721="","",IFERROR(INDEX(Materiali!$C:$C,MATCH(D721,Materiali!$A:$A,0)),0))</f>
        <v/>
      </c>
      <c r="I721" s="9" t="str">
        <f aca="false">IF(OR(G721="",H721=""),"",IF(F721="Uscita",-1,1)*G721*H721)</f>
        <v/>
      </c>
      <c r="J721" s="13"/>
      <c r="K721" s="13"/>
    </row>
    <row r="722" customFormat="false" ht="15" hidden="false" customHeight="false" outlineLevel="0" collapsed="false">
      <c r="A722" s="12"/>
      <c r="B722" s="13"/>
      <c r="C722" s="13"/>
      <c r="D722" s="13"/>
      <c r="E722" s="7" t="str">
        <f aca="false">IF(D722="","",IFERROR(INDEX(Materiali!$B:$B,MATCH(D722,Materiali!$A:$A,0)),"codice?"))</f>
        <v/>
      </c>
      <c r="F722" s="13"/>
      <c r="G722" s="13"/>
      <c r="H722" s="9" t="str">
        <f aca="false">IF(D722="","",IFERROR(INDEX(Materiali!$C:$C,MATCH(D722,Materiali!$A:$A,0)),0))</f>
        <v/>
      </c>
      <c r="I722" s="9" t="str">
        <f aca="false">IF(OR(G722="",H722=""),"",IF(F722="Uscita",-1,1)*G722*H722)</f>
        <v/>
      </c>
      <c r="J722" s="13"/>
      <c r="K722" s="13"/>
    </row>
    <row r="723" customFormat="false" ht="15" hidden="false" customHeight="false" outlineLevel="0" collapsed="false">
      <c r="A723" s="12"/>
      <c r="B723" s="13"/>
      <c r="C723" s="13"/>
      <c r="D723" s="13"/>
      <c r="E723" s="7" t="str">
        <f aca="false">IF(D723="","",IFERROR(INDEX(Materiali!$B:$B,MATCH(D723,Materiali!$A:$A,0)),"codice?"))</f>
        <v/>
      </c>
      <c r="F723" s="13"/>
      <c r="G723" s="13"/>
      <c r="H723" s="9" t="str">
        <f aca="false">IF(D723="","",IFERROR(INDEX(Materiali!$C:$C,MATCH(D723,Materiali!$A:$A,0)),0))</f>
        <v/>
      </c>
      <c r="I723" s="9" t="str">
        <f aca="false">IF(OR(G723="",H723=""),"",IF(F723="Uscita",-1,1)*G723*H723)</f>
        <v/>
      </c>
      <c r="J723" s="13"/>
      <c r="K723" s="13"/>
    </row>
    <row r="724" customFormat="false" ht="15" hidden="false" customHeight="false" outlineLevel="0" collapsed="false">
      <c r="A724" s="12"/>
      <c r="B724" s="13"/>
      <c r="C724" s="13"/>
      <c r="D724" s="13"/>
      <c r="E724" s="7" t="str">
        <f aca="false">IF(D724="","",IFERROR(INDEX(Materiali!$B:$B,MATCH(D724,Materiali!$A:$A,0)),"codice?"))</f>
        <v/>
      </c>
      <c r="F724" s="13"/>
      <c r="G724" s="13"/>
      <c r="H724" s="9" t="str">
        <f aca="false">IF(D724="","",IFERROR(INDEX(Materiali!$C:$C,MATCH(D724,Materiali!$A:$A,0)),0))</f>
        <v/>
      </c>
      <c r="I724" s="9" t="str">
        <f aca="false">IF(OR(G724="",H724=""),"",IF(F724="Uscita",-1,1)*G724*H724)</f>
        <v/>
      </c>
      <c r="J724" s="13"/>
      <c r="K724" s="13"/>
    </row>
    <row r="725" customFormat="false" ht="15" hidden="false" customHeight="false" outlineLevel="0" collapsed="false">
      <c r="A725" s="12"/>
      <c r="B725" s="13"/>
      <c r="C725" s="13"/>
      <c r="D725" s="13"/>
      <c r="E725" s="7" t="str">
        <f aca="false">IF(D725="","",IFERROR(INDEX(Materiali!$B:$B,MATCH(D725,Materiali!$A:$A,0)),"codice?"))</f>
        <v/>
      </c>
      <c r="F725" s="13"/>
      <c r="G725" s="13"/>
      <c r="H725" s="9" t="str">
        <f aca="false">IF(D725="","",IFERROR(INDEX(Materiali!$C:$C,MATCH(D725,Materiali!$A:$A,0)),0))</f>
        <v/>
      </c>
      <c r="I725" s="9" t="str">
        <f aca="false">IF(OR(G725="",H725=""),"",IF(F725="Uscita",-1,1)*G725*H725)</f>
        <v/>
      </c>
      <c r="J725" s="13"/>
      <c r="K725" s="13"/>
    </row>
    <row r="726" customFormat="false" ht="15" hidden="false" customHeight="false" outlineLevel="0" collapsed="false">
      <c r="A726" s="12"/>
      <c r="B726" s="13"/>
      <c r="C726" s="13"/>
      <c r="D726" s="13"/>
      <c r="E726" s="7" t="str">
        <f aca="false">IF(D726="","",IFERROR(INDEX(Materiali!$B:$B,MATCH(D726,Materiali!$A:$A,0)),"codice?"))</f>
        <v/>
      </c>
      <c r="F726" s="13"/>
      <c r="G726" s="13"/>
      <c r="H726" s="9" t="str">
        <f aca="false">IF(D726="","",IFERROR(INDEX(Materiali!$C:$C,MATCH(D726,Materiali!$A:$A,0)),0))</f>
        <v/>
      </c>
      <c r="I726" s="9" t="str">
        <f aca="false">IF(OR(G726="",H726=""),"",IF(F726="Uscita",-1,1)*G726*H726)</f>
        <v/>
      </c>
      <c r="J726" s="13"/>
      <c r="K726" s="13"/>
    </row>
    <row r="727" customFormat="false" ht="15" hidden="false" customHeight="false" outlineLevel="0" collapsed="false">
      <c r="A727" s="12"/>
      <c r="B727" s="13"/>
      <c r="C727" s="13"/>
      <c r="D727" s="13"/>
      <c r="E727" s="7" t="str">
        <f aca="false">IF(D727="","",IFERROR(INDEX(Materiali!$B:$B,MATCH(D727,Materiali!$A:$A,0)),"codice?"))</f>
        <v/>
      </c>
      <c r="F727" s="13"/>
      <c r="G727" s="13"/>
      <c r="H727" s="9" t="str">
        <f aca="false">IF(D727="","",IFERROR(INDEX(Materiali!$C:$C,MATCH(D727,Materiali!$A:$A,0)),0))</f>
        <v/>
      </c>
      <c r="I727" s="9" t="str">
        <f aca="false">IF(OR(G727="",H727=""),"",IF(F727="Uscita",-1,1)*G727*H727)</f>
        <v/>
      </c>
      <c r="J727" s="13"/>
      <c r="K727" s="13"/>
    </row>
    <row r="728" customFormat="false" ht="15" hidden="false" customHeight="false" outlineLevel="0" collapsed="false">
      <c r="A728" s="12"/>
      <c r="B728" s="13"/>
      <c r="C728" s="13"/>
      <c r="D728" s="13"/>
      <c r="E728" s="7" t="str">
        <f aca="false">IF(D728="","",IFERROR(INDEX(Materiali!$B:$B,MATCH(D728,Materiali!$A:$A,0)),"codice?"))</f>
        <v/>
      </c>
      <c r="F728" s="13"/>
      <c r="G728" s="13"/>
      <c r="H728" s="9" t="str">
        <f aca="false">IF(D728="","",IFERROR(INDEX(Materiali!$C:$C,MATCH(D728,Materiali!$A:$A,0)),0))</f>
        <v/>
      </c>
      <c r="I728" s="9" t="str">
        <f aca="false">IF(OR(G728="",H728=""),"",IF(F728="Uscita",-1,1)*G728*H728)</f>
        <v/>
      </c>
      <c r="J728" s="13"/>
      <c r="K728" s="13"/>
    </row>
    <row r="729" customFormat="false" ht="15" hidden="false" customHeight="false" outlineLevel="0" collapsed="false">
      <c r="A729" s="12"/>
      <c r="B729" s="13"/>
      <c r="C729" s="13"/>
      <c r="D729" s="13"/>
      <c r="E729" s="7" t="str">
        <f aca="false">IF(D729="","",IFERROR(INDEX(Materiali!$B:$B,MATCH(D729,Materiali!$A:$A,0)),"codice?"))</f>
        <v/>
      </c>
      <c r="F729" s="13"/>
      <c r="G729" s="13"/>
      <c r="H729" s="9" t="str">
        <f aca="false">IF(D729="","",IFERROR(INDEX(Materiali!$C:$C,MATCH(D729,Materiali!$A:$A,0)),0))</f>
        <v/>
      </c>
      <c r="I729" s="9" t="str">
        <f aca="false">IF(OR(G729="",H729=""),"",IF(F729="Uscita",-1,1)*G729*H729)</f>
        <v/>
      </c>
      <c r="J729" s="13"/>
      <c r="K729" s="13"/>
    </row>
    <row r="730" customFormat="false" ht="15" hidden="false" customHeight="false" outlineLevel="0" collapsed="false">
      <c r="A730" s="12"/>
      <c r="B730" s="13"/>
      <c r="C730" s="13"/>
      <c r="D730" s="13"/>
      <c r="E730" s="7" t="str">
        <f aca="false">IF(D730="","",IFERROR(INDEX(Materiali!$B:$B,MATCH(D730,Materiali!$A:$A,0)),"codice?"))</f>
        <v/>
      </c>
      <c r="F730" s="13"/>
      <c r="G730" s="13"/>
      <c r="H730" s="9" t="str">
        <f aca="false">IF(D730="","",IFERROR(INDEX(Materiali!$C:$C,MATCH(D730,Materiali!$A:$A,0)),0))</f>
        <v/>
      </c>
      <c r="I730" s="9" t="str">
        <f aca="false">IF(OR(G730="",H730=""),"",IF(F730="Uscita",-1,1)*G730*H730)</f>
        <v/>
      </c>
      <c r="J730" s="13"/>
      <c r="K730" s="13"/>
    </row>
    <row r="731" customFormat="false" ht="15" hidden="false" customHeight="false" outlineLevel="0" collapsed="false">
      <c r="A731" s="12"/>
      <c r="B731" s="13"/>
      <c r="C731" s="13"/>
      <c r="D731" s="13"/>
      <c r="E731" s="7" t="str">
        <f aca="false">IF(D731="","",IFERROR(INDEX(Materiali!$B:$B,MATCH(D731,Materiali!$A:$A,0)),"codice?"))</f>
        <v/>
      </c>
      <c r="F731" s="13"/>
      <c r="G731" s="13"/>
      <c r="H731" s="9" t="str">
        <f aca="false">IF(D731="","",IFERROR(INDEX(Materiali!$C:$C,MATCH(D731,Materiali!$A:$A,0)),0))</f>
        <v/>
      </c>
      <c r="I731" s="9" t="str">
        <f aca="false">IF(OR(G731="",H731=""),"",IF(F731="Uscita",-1,1)*G731*H731)</f>
        <v/>
      </c>
      <c r="J731" s="13"/>
      <c r="K731" s="13"/>
    </row>
    <row r="732" customFormat="false" ht="15" hidden="false" customHeight="false" outlineLevel="0" collapsed="false">
      <c r="A732" s="12"/>
      <c r="B732" s="13"/>
      <c r="C732" s="13"/>
      <c r="D732" s="13"/>
      <c r="E732" s="7" t="str">
        <f aca="false">IF(D732="","",IFERROR(INDEX(Materiali!$B:$B,MATCH(D732,Materiali!$A:$A,0)),"codice?"))</f>
        <v/>
      </c>
      <c r="F732" s="13"/>
      <c r="G732" s="13"/>
      <c r="H732" s="9" t="str">
        <f aca="false">IF(D732="","",IFERROR(INDEX(Materiali!$C:$C,MATCH(D732,Materiali!$A:$A,0)),0))</f>
        <v/>
      </c>
      <c r="I732" s="9" t="str">
        <f aca="false">IF(OR(G732="",H732=""),"",IF(F732="Uscita",-1,1)*G732*H732)</f>
        <v/>
      </c>
      <c r="J732" s="13"/>
      <c r="K732" s="13"/>
    </row>
    <row r="733" customFormat="false" ht="15" hidden="false" customHeight="false" outlineLevel="0" collapsed="false">
      <c r="A733" s="12"/>
      <c r="B733" s="13"/>
      <c r="C733" s="13"/>
      <c r="D733" s="13"/>
      <c r="E733" s="7" t="str">
        <f aca="false">IF(D733="","",IFERROR(INDEX(Materiali!$B:$B,MATCH(D733,Materiali!$A:$A,0)),"codice?"))</f>
        <v/>
      </c>
      <c r="F733" s="13"/>
      <c r="G733" s="13"/>
      <c r="H733" s="9" t="str">
        <f aca="false">IF(D733="","",IFERROR(INDEX(Materiali!$C:$C,MATCH(D733,Materiali!$A:$A,0)),0))</f>
        <v/>
      </c>
      <c r="I733" s="9" t="str">
        <f aca="false">IF(OR(G733="",H733=""),"",IF(F733="Uscita",-1,1)*G733*H733)</f>
        <v/>
      </c>
      <c r="J733" s="13"/>
      <c r="K733" s="13"/>
    </row>
    <row r="734" customFormat="false" ht="15" hidden="false" customHeight="false" outlineLevel="0" collapsed="false">
      <c r="A734" s="12"/>
      <c r="B734" s="13"/>
      <c r="C734" s="13"/>
      <c r="D734" s="13"/>
      <c r="E734" s="7" t="str">
        <f aca="false">IF(D734="","",IFERROR(INDEX(Materiali!$B:$B,MATCH(D734,Materiali!$A:$A,0)),"codice?"))</f>
        <v/>
      </c>
      <c r="F734" s="13"/>
      <c r="G734" s="13"/>
      <c r="H734" s="9" t="str">
        <f aca="false">IF(D734="","",IFERROR(INDEX(Materiali!$C:$C,MATCH(D734,Materiali!$A:$A,0)),0))</f>
        <v/>
      </c>
      <c r="I734" s="9" t="str">
        <f aca="false">IF(OR(G734="",H734=""),"",IF(F734="Uscita",-1,1)*G734*H734)</f>
        <v/>
      </c>
      <c r="J734" s="13"/>
      <c r="K734" s="13"/>
    </row>
    <row r="735" customFormat="false" ht="15" hidden="false" customHeight="false" outlineLevel="0" collapsed="false">
      <c r="A735" s="12"/>
      <c r="B735" s="13"/>
      <c r="C735" s="13"/>
      <c r="D735" s="13"/>
      <c r="E735" s="7" t="str">
        <f aca="false">IF(D735="","",IFERROR(INDEX(Materiali!$B:$B,MATCH(D735,Materiali!$A:$A,0)),"codice?"))</f>
        <v/>
      </c>
      <c r="F735" s="13"/>
      <c r="G735" s="13"/>
      <c r="H735" s="9" t="str">
        <f aca="false">IF(D735="","",IFERROR(INDEX(Materiali!$C:$C,MATCH(D735,Materiali!$A:$A,0)),0))</f>
        <v/>
      </c>
      <c r="I735" s="9" t="str">
        <f aca="false">IF(OR(G735="",H735=""),"",IF(F735="Uscita",-1,1)*G735*H735)</f>
        <v/>
      </c>
      <c r="J735" s="13"/>
      <c r="K735" s="13"/>
    </row>
    <row r="736" customFormat="false" ht="15" hidden="false" customHeight="false" outlineLevel="0" collapsed="false">
      <c r="A736" s="12"/>
      <c r="B736" s="13"/>
      <c r="C736" s="13"/>
      <c r="D736" s="13"/>
      <c r="E736" s="7" t="str">
        <f aca="false">IF(D736="","",IFERROR(INDEX(Materiali!$B:$B,MATCH(D736,Materiali!$A:$A,0)),"codice?"))</f>
        <v/>
      </c>
      <c r="F736" s="13"/>
      <c r="G736" s="13"/>
      <c r="H736" s="9" t="str">
        <f aca="false">IF(D736="","",IFERROR(INDEX(Materiali!$C:$C,MATCH(D736,Materiali!$A:$A,0)),0))</f>
        <v/>
      </c>
      <c r="I736" s="9" t="str">
        <f aca="false">IF(OR(G736="",H736=""),"",IF(F736="Uscita",-1,1)*G736*H736)</f>
        <v/>
      </c>
      <c r="J736" s="13"/>
      <c r="K736" s="13"/>
    </row>
    <row r="737" customFormat="false" ht="15" hidden="false" customHeight="false" outlineLevel="0" collapsed="false">
      <c r="A737" s="12"/>
      <c r="B737" s="13"/>
      <c r="C737" s="13"/>
      <c r="D737" s="13"/>
      <c r="E737" s="7" t="str">
        <f aca="false">IF(D737="","",IFERROR(INDEX(Materiali!$B:$B,MATCH(D737,Materiali!$A:$A,0)),"codice?"))</f>
        <v/>
      </c>
      <c r="F737" s="13"/>
      <c r="G737" s="13"/>
      <c r="H737" s="9" t="str">
        <f aca="false">IF(D737="","",IFERROR(INDEX(Materiali!$C:$C,MATCH(D737,Materiali!$A:$A,0)),0))</f>
        <v/>
      </c>
      <c r="I737" s="9" t="str">
        <f aca="false">IF(OR(G737="",H737=""),"",IF(F737="Uscita",-1,1)*G737*H737)</f>
        <v/>
      </c>
      <c r="J737" s="13"/>
      <c r="K737" s="13"/>
    </row>
    <row r="738" customFormat="false" ht="15" hidden="false" customHeight="false" outlineLevel="0" collapsed="false">
      <c r="A738" s="12"/>
      <c r="B738" s="13"/>
      <c r="C738" s="13"/>
      <c r="D738" s="13"/>
      <c r="E738" s="7" t="str">
        <f aca="false">IF(D738="","",IFERROR(INDEX(Materiali!$B:$B,MATCH(D738,Materiali!$A:$A,0)),"codice?"))</f>
        <v/>
      </c>
      <c r="F738" s="13"/>
      <c r="G738" s="13"/>
      <c r="H738" s="9" t="str">
        <f aca="false">IF(D738="","",IFERROR(INDEX(Materiali!$C:$C,MATCH(D738,Materiali!$A:$A,0)),0))</f>
        <v/>
      </c>
      <c r="I738" s="9" t="str">
        <f aca="false">IF(OR(G738="",H738=""),"",IF(F738="Uscita",-1,1)*G738*H738)</f>
        <v/>
      </c>
      <c r="J738" s="13"/>
      <c r="K738" s="13"/>
    </row>
    <row r="739" customFormat="false" ht="15" hidden="false" customHeight="false" outlineLevel="0" collapsed="false">
      <c r="A739" s="12"/>
      <c r="B739" s="13"/>
      <c r="C739" s="13"/>
      <c r="D739" s="13"/>
      <c r="E739" s="7" t="str">
        <f aca="false">IF(D739="","",IFERROR(INDEX(Materiali!$B:$B,MATCH(D739,Materiali!$A:$A,0)),"codice?"))</f>
        <v/>
      </c>
      <c r="F739" s="13"/>
      <c r="G739" s="13"/>
      <c r="H739" s="9" t="str">
        <f aca="false">IF(D739="","",IFERROR(INDEX(Materiali!$C:$C,MATCH(D739,Materiali!$A:$A,0)),0))</f>
        <v/>
      </c>
      <c r="I739" s="9" t="str">
        <f aca="false">IF(OR(G739="",H739=""),"",IF(F739="Uscita",-1,1)*G739*H739)</f>
        <v/>
      </c>
      <c r="J739" s="13"/>
      <c r="K739" s="13"/>
    </row>
    <row r="740" customFormat="false" ht="15" hidden="false" customHeight="false" outlineLevel="0" collapsed="false">
      <c r="A740" s="12"/>
      <c r="B740" s="13"/>
      <c r="C740" s="13"/>
      <c r="D740" s="13"/>
      <c r="E740" s="7" t="str">
        <f aca="false">IF(D740="","",IFERROR(INDEX(Materiali!$B:$B,MATCH(D740,Materiali!$A:$A,0)),"codice?"))</f>
        <v/>
      </c>
      <c r="F740" s="13"/>
      <c r="G740" s="13"/>
      <c r="H740" s="9" t="str">
        <f aca="false">IF(D740="","",IFERROR(INDEX(Materiali!$C:$C,MATCH(D740,Materiali!$A:$A,0)),0))</f>
        <v/>
      </c>
      <c r="I740" s="9" t="str">
        <f aca="false">IF(OR(G740="",H740=""),"",IF(F740="Uscita",-1,1)*G740*H740)</f>
        <v/>
      </c>
      <c r="J740" s="13"/>
      <c r="K740" s="13"/>
    </row>
    <row r="741" customFormat="false" ht="15" hidden="false" customHeight="false" outlineLevel="0" collapsed="false">
      <c r="A741" s="12"/>
      <c r="B741" s="13"/>
      <c r="C741" s="13"/>
      <c r="D741" s="13"/>
      <c r="E741" s="7" t="str">
        <f aca="false">IF(D741="","",IFERROR(INDEX(Materiali!$B:$B,MATCH(D741,Materiali!$A:$A,0)),"codice?"))</f>
        <v/>
      </c>
      <c r="F741" s="13"/>
      <c r="G741" s="13"/>
      <c r="H741" s="9" t="str">
        <f aca="false">IF(D741="","",IFERROR(INDEX(Materiali!$C:$C,MATCH(D741,Materiali!$A:$A,0)),0))</f>
        <v/>
      </c>
      <c r="I741" s="9" t="str">
        <f aca="false">IF(OR(G741="",H741=""),"",IF(F741="Uscita",-1,1)*G741*H741)</f>
        <v/>
      </c>
      <c r="J741" s="13"/>
      <c r="K741" s="13"/>
    </row>
    <row r="742" customFormat="false" ht="15" hidden="false" customHeight="false" outlineLevel="0" collapsed="false">
      <c r="A742" s="12"/>
      <c r="B742" s="13"/>
      <c r="C742" s="13"/>
      <c r="D742" s="13"/>
      <c r="E742" s="7" t="str">
        <f aca="false">IF(D742="","",IFERROR(INDEX(Materiali!$B:$B,MATCH(D742,Materiali!$A:$A,0)),"codice?"))</f>
        <v/>
      </c>
      <c r="F742" s="13"/>
      <c r="G742" s="13"/>
      <c r="H742" s="9" t="str">
        <f aca="false">IF(D742="","",IFERROR(INDEX(Materiali!$C:$C,MATCH(D742,Materiali!$A:$A,0)),0))</f>
        <v/>
      </c>
      <c r="I742" s="9" t="str">
        <f aca="false">IF(OR(G742="",H742=""),"",IF(F742="Uscita",-1,1)*G742*H742)</f>
        <v/>
      </c>
      <c r="J742" s="13"/>
      <c r="K742" s="13"/>
    </row>
    <row r="743" customFormat="false" ht="15" hidden="false" customHeight="false" outlineLevel="0" collapsed="false">
      <c r="A743" s="12"/>
      <c r="B743" s="13"/>
      <c r="C743" s="13"/>
      <c r="D743" s="13"/>
      <c r="E743" s="7" t="str">
        <f aca="false">IF(D743="","",IFERROR(INDEX(Materiali!$B:$B,MATCH(D743,Materiali!$A:$A,0)),"codice?"))</f>
        <v/>
      </c>
      <c r="F743" s="13"/>
      <c r="G743" s="13"/>
      <c r="H743" s="9" t="str">
        <f aca="false">IF(D743="","",IFERROR(INDEX(Materiali!$C:$C,MATCH(D743,Materiali!$A:$A,0)),0))</f>
        <v/>
      </c>
      <c r="I743" s="9" t="str">
        <f aca="false">IF(OR(G743="",H743=""),"",IF(F743="Uscita",-1,1)*G743*H743)</f>
        <v/>
      </c>
      <c r="J743" s="13"/>
      <c r="K743" s="13"/>
    </row>
    <row r="744" customFormat="false" ht="15" hidden="false" customHeight="false" outlineLevel="0" collapsed="false">
      <c r="A744" s="12"/>
      <c r="B744" s="13"/>
      <c r="C744" s="13"/>
      <c r="D744" s="13"/>
      <c r="E744" s="7" t="str">
        <f aca="false">IF(D744="","",IFERROR(INDEX(Materiali!$B:$B,MATCH(D744,Materiali!$A:$A,0)),"codice?"))</f>
        <v/>
      </c>
      <c r="F744" s="13"/>
      <c r="G744" s="13"/>
      <c r="H744" s="9" t="str">
        <f aca="false">IF(D744="","",IFERROR(INDEX(Materiali!$C:$C,MATCH(D744,Materiali!$A:$A,0)),0))</f>
        <v/>
      </c>
      <c r="I744" s="9" t="str">
        <f aca="false">IF(OR(G744="",H744=""),"",IF(F744="Uscita",-1,1)*G744*H744)</f>
        <v/>
      </c>
      <c r="J744" s="13"/>
      <c r="K744" s="13"/>
    </row>
    <row r="745" customFormat="false" ht="15" hidden="false" customHeight="false" outlineLevel="0" collapsed="false">
      <c r="A745" s="12"/>
      <c r="B745" s="13"/>
      <c r="C745" s="13"/>
      <c r="D745" s="13"/>
      <c r="E745" s="7" t="str">
        <f aca="false">IF(D745="","",IFERROR(INDEX(Materiali!$B:$B,MATCH(D745,Materiali!$A:$A,0)),"codice?"))</f>
        <v/>
      </c>
      <c r="F745" s="13"/>
      <c r="G745" s="13"/>
      <c r="H745" s="9" t="str">
        <f aca="false">IF(D745="","",IFERROR(INDEX(Materiali!$C:$C,MATCH(D745,Materiali!$A:$A,0)),0))</f>
        <v/>
      </c>
      <c r="I745" s="9" t="str">
        <f aca="false">IF(OR(G745="",H745=""),"",IF(F745="Uscita",-1,1)*G745*H745)</f>
        <v/>
      </c>
      <c r="J745" s="13"/>
      <c r="K745" s="13"/>
    </row>
    <row r="746" customFormat="false" ht="15" hidden="false" customHeight="false" outlineLevel="0" collapsed="false">
      <c r="A746" s="12"/>
      <c r="B746" s="13"/>
      <c r="C746" s="13"/>
      <c r="D746" s="13"/>
      <c r="E746" s="7" t="str">
        <f aca="false">IF(D746="","",IFERROR(INDEX(Materiali!$B:$B,MATCH(D746,Materiali!$A:$A,0)),"codice?"))</f>
        <v/>
      </c>
      <c r="F746" s="13"/>
      <c r="G746" s="13"/>
      <c r="H746" s="9" t="str">
        <f aca="false">IF(D746="","",IFERROR(INDEX(Materiali!$C:$C,MATCH(D746,Materiali!$A:$A,0)),0))</f>
        <v/>
      </c>
      <c r="I746" s="9" t="str">
        <f aca="false">IF(OR(G746="",H746=""),"",IF(F746="Uscita",-1,1)*G746*H746)</f>
        <v/>
      </c>
      <c r="J746" s="13"/>
      <c r="K746" s="13"/>
    </row>
    <row r="747" customFormat="false" ht="15" hidden="false" customHeight="false" outlineLevel="0" collapsed="false">
      <c r="A747" s="12"/>
      <c r="B747" s="13"/>
      <c r="C747" s="13"/>
      <c r="D747" s="13"/>
      <c r="E747" s="7" t="str">
        <f aca="false">IF(D747="","",IFERROR(INDEX(Materiali!$B:$B,MATCH(D747,Materiali!$A:$A,0)),"codice?"))</f>
        <v/>
      </c>
      <c r="F747" s="13"/>
      <c r="G747" s="13"/>
      <c r="H747" s="9" t="str">
        <f aca="false">IF(D747="","",IFERROR(INDEX(Materiali!$C:$C,MATCH(D747,Materiali!$A:$A,0)),0))</f>
        <v/>
      </c>
      <c r="I747" s="9" t="str">
        <f aca="false">IF(OR(G747="",H747=""),"",IF(F747="Uscita",-1,1)*G747*H747)</f>
        <v/>
      </c>
      <c r="J747" s="13"/>
      <c r="K747" s="13"/>
    </row>
    <row r="748" customFormat="false" ht="15" hidden="false" customHeight="false" outlineLevel="0" collapsed="false">
      <c r="A748" s="12"/>
      <c r="B748" s="13"/>
      <c r="C748" s="13"/>
      <c r="D748" s="13"/>
      <c r="E748" s="7" t="str">
        <f aca="false">IF(D748="","",IFERROR(INDEX(Materiali!$B:$B,MATCH(D748,Materiali!$A:$A,0)),"codice?"))</f>
        <v/>
      </c>
      <c r="F748" s="13"/>
      <c r="G748" s="13"/>
      <c r="H748" s="9" t="str">
        <f aca="false">IF(D748="","",IFERROR(INDEX(Materiali!$C:$C,MATCH(D748,Materiali!$A:$A,0)),0))</f>
        <v/>
      </c>
      <c r="I748" s="9" t="str">
        <f aca="false">IF(OR(G748="",H748=""),"",IF(F748="Uscita",-1,1)*G748*H748)</f>
        <v/>
      </c>
      <c r="J748" s="13"/>
      <c r="K748" s="13"/>
    </row>
    <row r="749" customFormat="false" ht="15" hidden="false" customHeight="false" outlineLevel="0" collapsed="false">
      <c r="A749" s="12"/>
      <c r="B749" s="13"/>
      <c r="C749" s="13"/>
      <c r="D749" s="13"/>
      <c r="E749" s="7" t="str">
        <f aca="false">IF(D749="","",IFERROR(INDEX(Materiali!$B:$B,MATCH(D749,Materiali!$A:$A,0)),"codice?"))</f>
        <v/>
      </c>
      <c r="F749" s="13"/>
      <c r="G749" s="13"/>
      <c r="H749" s="9" t="str">
        <f aca="false">IF(D749="","",IFERROR(INDEX(Materiali!$C:$C,MATCH(D749,Materiali!$A:$A,0)),0))</f>
        <v/>
      </c>
      <c r="I749" s="9" t="str">
        <f aca="false">IF(OR(G749="",H749=""),"",IF(F749="Uscita",-1,1)*G749*H749)</f>
        <v/>
      </c>
      <c r="J749" s="13"/>
      <c r="K749" s="13"/>
    </row>
    <row r="750" customFormat="false" ht="15" hidden="false" customHeight="false" outlineLevel="0" collapsed="false">
      <c r="A750" s="12"/>
      <c r="B750" s="13"/>
      <c r="C750" s="13"/>
      <c r="D750" s="13"/>
      <c r="E750" s="7" t="str">
        <f aca="false">IF(D750="","",IFERROR(INDEX(Materiali!$B:$B,MATCH(D750,Materiali!$A:$A,0)),"codice?"))</f>
        <v/>
      </c>
      <c r="F750" s="13"/>
      <c r="G750" s="13"/>
      <c r="H750" s="9" t="str">
        <f aca="false">IF(D750="","",IFERROR(INDEX(Materiali!$C:$C,MATCH(D750,Materiali!$A:$A,0)),0))</f>
        <v/>
      </c>
      <c r="I750" s="9" t="str">
        <f aca="false">IF(OR(G750="",H750=""),"",IF(F750="Uscita",-1,1)*G750*H750)</f>
        <v/>
      </c>
      <c r="J750" s="13"/>
      <c r="K750" s="13"/>
    </row>
    <row r="751" customFormat="false" ht="15" hidden="false" customHeight="false" outlineLevel="0" collapsed="false">
      <c r="A751" s="12"/>
      <c r="B751" s="13"/>
      <c r="C751" s="13"/>
      <c r="D751" s="13"/>
      <c r="E751" s="7" t="str">
        <f aca="false">IF(D751="","",IFERROR(INDEX(Materiali!$B:$B,MATCH(D751,Materiali!$A:$A,0)),"codice?"))</f>
        <v/>
      </c>
      <c r="F751" s="13"/>
      <c r="G751" s="13"/>
      <c r="H751" s="9" t="str">
        <f aca="false">IF(D751="","",IFERROR(INDEX(Materiali!$C:$C,MATCH(D751,Materiali!$A:$A,0)),0))</f>
        <v/>
      </c>
      <c r="I751" s="9" t="str">
        <f aca="false">IF(OR(G751="",H751=""),"",IF(F751="Uscita",-1,1)*G751*H751)</f>
        <v/>
      </c>
      <c r="J751" s="13"/>
      <c r="K751" s="13"/>
    </row>
    <row r="752" customFormat="false" ht="15" hidden="false" customHeight="false" outlineLevel="0" collapsed="false">
      <c r="A752" s="12"/>
      <c r="B752" s="13"/>
      <c r="C752" s="13"/>
      <c r="D752" s="13"/>
      <c r="E752" s="7" t="str">
        <f aca="false">IF(D752="","",IFERROR(INDEX(Materiali!$B:$B,MATCH(D752,Materiali!$A:$A,0)),"codice?"))</f>
        <v/>
      </c>
      <c r="F752" s="13"/>
      <c r="G752" s="13"/>
      <c r="H752" s="9" t="str">
        <f aca="false">IF(D752="","",IFERROR(INDEX(Materiali!$C:$C,MATCH(D752,Materiali!$A:$A,0)),0))</f>
        <v/>
      </c>
      <c r="I752" s="9" t="str">
        <f aca="false">IF(OR(G752="",H752=""),"",IF(F752="Uscita",-1,1)*G752*H752)</f>
        <v/>
      </c>
      <c r="J752" s="13"/>
      <c r="K752" s="13"/>
    </row>
    <row r="753" customFormat="false" ht="15" hidden="false" customHeight="false" outlineLevel="0" collapsed="false">
      <c r="A753" s="12"/>
      <c r="B753" s="13"/>
      <c r="C753" s="13"/>
      <c r="D753" s="13"/>
      <c r="E753" s="7" t="str">
        <f aca="false">IF(D753="","",IFERROR(INDEX(Materiali!$B:$B,MATCH(D753,Materiali!$A:$A,0)),"codice?"))</f>
        <v/>
      </c>
      <c r="F753" s="13"/>
      <c r="G753" s="13"/>
      <c r="H753" s="9" t="str">
        <f aca="false">IF(D753="","",IFERROR(INDEX(Materiali!$C:$C,MATCH(D753,Materiali!$A:$A,0)),0))</f>
        <v/>
      </c>
      <c r="I753" s="9" t="str">
        <f aca="false">IF(OR(G753="",H753=""),"",IF(F753="Uscita",-1,1)*G753*H753)</f>
        <v/>
      </c>
      <c r="J753" s="13"/>
      <c r="K753" s="13"/>
    </row>
    <row r="754" customFormat="false" ht="15" hidden="false" customHeight="false" outlineLevel="0" collapsed="false">
      <c r="A754" s="12"/>
      <c r="B754" s="13"/>
      <c r="C754" s="13"/>
      <c r="D754" s="13"/>
      <c r="E754" s="7" t="str">
        <f aca="false">IF(D754="","",IFERROR(INDEX(Materiali!$B:$B,MATCH(D754,Materiali!$A:$A,0)),"codice?"))</f>
        <v/>
      </c>
      <c r="F754" s="13"/>
      <c r="G754" s="13"/>
      <c r="H754" s="9" t="str">
        <f aca="false">IF(D754="","",IFERROR(INDEX(Materiali!$C:$C,MATCH(D754,Materiali!$A:$A,0)),0))</f>
        <v/>
      </c>
      <c r="I754" s="9" t="str">
        <f aca="false">IF(OR(G754="",H754=""),"",IF(F754="Uscita",-1,1)*G754*H754)</f>
        <v/>
      </c>
      <c r="J754" s="13"/>
      <c r="K754" s="13"/>
    </row>
    <row r="755" customFormat="false" ht="15" hidden="false" customHeight="false" outlineLevel="0" collapsed="false">
      <c r="A755" s="12"/>
      <c r="B755" s="13"/>
      <c r="C755" s="13"/>
      <c r="D755" s="13"/>
      <c r="E755" s="7" t="str">
        <f aca="false">IF(D755="","",IFERROR(INDEX(Materiali!$B:$B,MATCH(D755,Materiali!$A:$A,0)),"codice?"))</f>
        <v/>
      </c>
      <c r="F755" s="13"/>
      <c r="G755" s="13"/>
      <c r="H755" s="9" t="str">
        <f aca="false">IF(D755="","",IFERROR(INDEX(Materiali!$C:$C,MATCH(D755,Materiali!$A:$A,0)),0))</f>
        <v/>
      </c>
      <c r="I755" s="9" t="str">
        <f aca="false">IF(OR(G755="",H755=""),"",IF(F755="Uscita",-1,1)*G755*H755)</f>
        <v/>
      </c>
      <c r="J755" s="13"/>
      <c r="K755" s="13"/>
    </row>
    <row r="756" customFormat="false" ht="15" hidden="false" customHeight="false" outlineLevel="0" collapsed="false">
      <c r="A756" s="12"/>
      <c r="B756" s="13"/>
      <c r="C756" s="13"/>
      <c r="D756" s="13"/>
      <c r="E756" s="7" t="str">
        <f aca="false">IF(D756="","",IFERROR(INDEX(Materiali!$B:$B,MATCH(D756,Materiali!$A:$A,0)),"codice?"))</f>
        <v/>
      </c>
      <c r="F756" s="13"/>
      <c r="G756" s="13"/>
      <c r="H756" s="9" t="str">
        <f aca="false">IF(D756="","",IFERROR(INDEX(Materiali!$C:$C,MATCH(D756,Materiali!$A:$A,0)),0))</f>
        <v/>
      </c>
      <c r="I756" s="9" t="str">
        <f aca="false">IF(OR(G756="",H756=""),"",IF(F756="Uscita",-1,1)*G756*H756)</f>
        <v/>
      </c>
      <c r="J756" s="13"/>
      <c r="K756" s="13"/>
    </row>
    <row r="757" customFormat="false" ht="15" hidden="false" customHeight="false" outlineLevel="0" collapsed="false">
      <c r="A757" s="12"/>
      <c r="B757" s="13"/>
      <c r="C757" s="13"/>
      <c r="D757" s="13"/>
      <c r="E757" s="7" t="str">
        <f aca="false">IF(D757="","",IFERROR(INDEX(Materiali!$B:$B,MATCH(D757,Materiali!$A:$A,0)),"codice?"))</f>
        <v/>
      </c>
      <c r="F757" s="13"/>
      <c r="G757" s="13"/>
      <c r="H757" s="9" t="str">
        <f aca="false">IF(D757="","",IFERROR(INDEX(Materiali!$C:$C,MATCH(D757,Materiali!$A:$A,0)),0))</f>
        <v/>
      </c>
      <c r="I757" s="9" t="str">
        <f aca="false">IF(OR(G757="",H757=""),"",IF(F757="Uscita",-1,1)*G757*H757)</f>
        <v/>
      </c>
      <c r="J757" s="13"/>
      <c r="K757" s="13"/>
    </row>
    <row r="758" customFormat="false" ht="15" hidden="false" customHeight="false" outlineLevel="0" collapsed="false">
      <c r="A758" s="12"/>
      <c r="B758" s="13"/>
      <c r="C758" s="13"/>
      <c r="D758" s="13"/>
      <c r="E758" s="7" t="str">
        <f aca="false">IF(D758="","",IFERROR(INDEX(Materiali!$B:$B,MATCH(D758,Materiali!$A:$A,0)),"codice?"))</f>
        <v/>
      </c>
      <c r="F758" s="13"/>
      <c r="G758" s="13"/>
      <c r="H758" s="9" t="str">
        <f aca="false">IF(D758="","",IFERROR(INDEX(Materiali!$C:$C,MATCH(D758,Materiali!$A:$A,0)),0))</f>
        <v/>
      </c>
      <c r="I758" s="9" t="str">
        <f aca="false">IF(OR(G758="",H758=""),"",IF(F758="Uscita",-1,1)*G758*H758)</f>
        <v/>
      </c>
      <c r="J758" s="13"/>
      <c r="K758" s="13"/>
    </row>
    <row r="759" customFormat="false" ht="15" hidden="false" customHeight="false" outlineLevel="0" collapsed="false">
      <c r="A759" s="12"/>
      <c r="B759" s="13"/>
      <c r="C759" s="13"/>
      <c r="D759" s="13"/>
      <c r="E759" s="7" t="str">
        <f aca="false">IF(D759="","",IFERROR(INDEX(Materiali!$B:$B,MATCH(D759,Materiali!$A:$A,0)),"codice?"))</f>
        <v/>
      </c>
      <c r="F759" s="13"/>
      <c r="G759" s="13"/>
      <c r="H759" s="9" t="str">
        <f aca="false">IF(D759="","",IFERROR(INDEX(Materiali!$C:$C,MATCH(D759,Materiali!$A:$A,0)),0))</f>
        <v/>
      </c>
      <c r="I759" s="9" t="str">
        <f aca="false">IF(OR(G759="",H759=""),"",IF(F759="Uscita",-1,1)*G759*H759)</f>
        <v/>
      </c>
      <c r="J759" s="13"/>
      <c r="K759" s="13"/>
    </row>
    <row r="760" customFormat="false" ht="15" hidden="false" customHeight="false" outlineLevel="0" collapsed="false">
      <c r="A760" s="12"/>
      <c r="B760" s="13"/>
      <c r="C760" s="13"/>
      <c r="D760" s="13"/>
      <c r="E760" s="7" t="str">
        <f aca="false">IF(D760="","",IFERROR(INDEX(Materiali!$B:$B,MATCH(D760,Materiali!$A:$A,0)),"codice?"))</f>
        <v/>
      </c>
      <c r="F760" s="13"/>
      <c r="G760" s="13"/>
      <c r="H760" s="9" t="str">
        <f aca="false">IF(D760="","",IFERROR(INDEX(Materiali!$C:$C,MATCH(D760,Materiali!$A:$A,0)),0))</f>
        <v/>
      </c>
      <c r="I760" s="9" t="str">
        <f aca="false">IF(OR(G760="",H760=""),"",IF(F760="Uscita",-1,1)*G760*H760)</f>
        <v/>
      </c>
      <c r="J760" s="13"/>
      <c r="K760" s="13"/>
    </row>
    <row r="761" customFormat="false" ht="15" hidden="false" customHeight="false" outlineLevel="0" collapsed="false">
      <c r="A761" s="12"/>
      <c r="B761" s="13"/>
      <c r="C761" s="13"/>
      <c r="D761" s="13"/>
      <c r="E761" s="7" t="str">
        <f aca="false">IF(D761="","",IFERROR(INDEX(Materiali!$B:$B,MATCH(D761,Materiali!$A:$A,0)),"codice?"))</f>
        <v/>
      </c>
      <c r="F761" s="13"/>
      <c r="G761" s="13"/>
      <c r="H761" s="9" t="str">
        <f aca="false">IF(D761="","",IFERROR(INDEX(Materiali!$C:$C,MATCH(D761,Materiali!$A:$A,0)),0))</f>
        <v/>
      </c>
      <c r="I761" s="9" t="str">
        <f aca="false">IF(OR(G761="",H761=""),"",IF(F761="Uscita",-1,1)*G761*H761)</f>
        <v/>
      </c>
      <c r="J761" s="13"/>
      <c r="K761" s="13"/>
    </row>
    <row r="762" customFormat="false" ht="15" hidden="false" customHeight="false" outlineLevel="0" collapsed="false">
      <c r="A762" s="12"/>
      <c r="B762" s="13"/>
      <c r="C762" s="13"/>
      <c r="D762" s="13"/>
      <c r="E762" s="7" t="str">
        <f aca="false">IF(D762="","",IFERROR(INDEX(Materiali!$B:$B,MATCH(D762,Materiali!$A:$A,0)),"codice?"))</f>
        <v/>
      </c>
      <c r="F762" s="13"/>
      <c r="G762" s="13"/>
      <c r="H762" s="9" t="str">
        <f aca="false">IF(D762="","",IFERROR(INDEX(Materiali!$C:$C,MATCH(D762,Materiali!$A:$A,0)),0))</f>
        <v/>
      </c>
      <c r="I762" s="9" t="str">
        <f aca="false">IF(OR(G762="",H762=""),"",IF(F762="Uscita",-1,1)*G762*H762)</f>
        <v/>
      </c>
      <c r="J762" s="13"/>
      <c r="K762" s="13"/>
    </row>
    <row r="763" customFormat="false" ht="15" hidden="false" customHeight="false" outlineLevel="0" collapsed="false">
      <c r="A763" s="12"/>
      <c r="B763" s="13"/>
      <c r="C763" s="13"/>
      <c r="D763" s="13"/>
      <c r="E763" s="7" t="str">
        <f aca="false">IF(D763="","",IFERROR(INDEX(Materiali!$B:$B,MATCH(D763,Materiali!$A:$A,0)),"codice?"))</f>
        <v/>
      </c>
      <c r="F763" s="13"/>
      <c r="G763" s="13"/>
      <c r="H763" s="9" t="str">
        <f aca="false">IF(D763="","",IFERROR(INDEX(Materiali!$C:$C,MATCH(D763,Materiali!$A:$A,0)),0))</f>
        <v/>
      </c>
      <c r="I763" s="9" t="str">
        <f aca="false">IF(OR(G763="",H763=""),"",IF(F763="Uscita",-1,1)*G763*H763)</f>
        <v/>
      </c>
      <c r="J763" s="13"/>
      <c r="K763" s="13"/>
    </row>
    <row r="764" customFormat="false" ht="15" hidden="false" customHeight="false" outlineLevel="0" collapsed="false">
      <c r="A764" s="12"/>
      <c r="B764" s="13"/>
      <c r="C764" s="13"/>
      <c r="D764" s="13"/>
      <c r="E764" s="7" t="str">
        <f aca="false">IF(D764="","",IFERROR(INDEX(Materiali!$B:$B,MATCH(D764,Materiali!$A:$A,0)),"codice?"))</f>
        <v/>
      </c>
      <c r="F764" s="13"/>
      <c r="G764" s="13"/>
      <c r="H764" s="9" t="str">
        <f aca="false">IF(D764="","",IFERROR(INDEX(Materiali!$C:$C,MATCH(D764,Materiali!$A:$A,0)),0))</f>
        <v/>
      </c>
      <c r="I764" s="9" t="str">
        <f aca="false">IF(OR(G764="",H764=""),"",IF(F764="Uscita",-1,1)*G764*H764)</f>
        <v/>
      </c>
      <c r="J764" s="13"/>
      <c r="K764" s="13"/>
    </row>
    <row r="765" customFormat="false" ht="15" hidden="false" customHeight="false" outlineLevel="0" collapsed="false">
      <c r="A765" s="12"/>
      <c r="B765" s="13"/>
      <c r="C765" s="13"/>
      <c r="D765" s="13"/>
      <c r="E765" s="7" t="str">
        <f aca="false">IF(D765="","",IFERROR(INDEX(Materiali!$B:$B,MATCH(D765,Materiali!$A:$A,0)),"codice?"))</f>
        <v/>
      </c>
      <c r="F765" s="13"/>
      <c r="G765" s="13"/>
      <c r="H765" s="9" t="str">
        <f aca="false">IF(D765="","",IFERROR(INDEX(Materiali!$C:$C,MATCH(D765,Materiali!$A:$A,0)),0))</f>
        <v/>
      </c>
      <c r="I765" s="9" t="str">
        <f aca="false">IF(OR(G765="",H765=""),"",IF(F765="Uscita",-1,1)*G765*H765)</f>
        <v/>
      </c>
      <c r="J765" s="13"/>
      <c r="K765" s="13"/>
    </row>
    <row r="766" customFormat="false" ht="15" hidden="false" customHeight="false" outlineLevel="0" collapsed="false">
      <c r="A766" s="12"/>
      <c r="B766" s="13"/>
      <c r="C766" s="13"/>
      <c r="D766" s="13"/>
      <c r="E766" s="7" t="str">
        <f aca="false">IF(D766="","",IFERROR(INDEX(Materiali!$B:$B,MATCH(D766,Materiali!$A:$A,0)),"codice?"))</f>
        <v/>
      </c>
      <c r="F766" s="13"/>
      <c r="G766" s="13"/>
      <c r="H766" s="9" t="str">
        <f aca="false">IF(D766="","",IFERROR(INDEX(Materiali!$C:$C,MATCH(D766,Materiali!$A:$A,0)),0))</f>
        <v/>
      </c>
      <c r="I766" s="9" t="str">
        <f aca="false">IF(OR(G766="",H766=""),"",IF(F766="Uscita",-1,1)*G766*H766)</f>
        <v/>
      </c>
      <c r="J766" s="13"/>
      <c r="K766" s="13"/>
    </row>
    <row r="767" customFormat="false" ht="15" hidden="false" customHeight="false" outlineLevel="0" collapsed="false">
      <c r="A767" s="12"/>
      <c r="B767" s="13"/>
      <c r="C767" s="13"/>
      <c r="D767" s="13"/>
      <c r="E767" s="7" t="str">
        <f aca="false">IF(D767="","",IFERROR(INDEX(Materiali!$B:$B,MATCH(D767,Materiali!$A:$A,0)),"codice?"))</f>
        <v/>
      </c>
      <c r="F767" s="13"/>
      <c r="G767" s="13"/>
      <c r="H767" s="9" t="str">
        <f aca="false">IF(D767="","",IFERROR(INDEX(Materiali!$C:$C,MATCH(D767,Materiali!$A:$A,0)),0))</f>
        <v/>
      </c>
      <c r="I767" s="9" t="str">
        <f aca="false">IF(OR(G767="",H767=""),"",IF(F767="Uscita",-1,1)*G767*H767)</f>
        <v/>
      </c>
      <c r="J767" s="13"/>
      <c r="K767" s="13"/>
    </row>
    <row r="768" customFormat="false" ht="15" hidden="false" customHeight="false" outlineLevel="0" collapsed="false">
      <c r="A768" s="12"/>
      <c r="B768" s="13"/>
      <c r="C768" s="13"/>
      <c r="D768" s="13"/>
      <c r="E768" s="7" t="str">
        <f aca="false">IF(D768="","",IFERROR(INDEX(Materiali!$B:$B,MATCH(D768,Materiali!$A:$A,0)),"codice?"))</f>
        <v/>
      </c>
      <c r="F768" s="13"/>
      <c r="G768" s="13"/>
      <c r="H768" s="9" t="str">
        <f aca="false">IF(D768="","",IFERROR(INDEX(Materiali!$C:$C,MATCH(D768,Materiali!$A:$A,0)),0))</f>
        <v/>
      </c>
      <c r="I768" s="9" t="str">
        <f aca="false">IF(OR(G768="",H768=""),"",IF(F768="Uscita",-1,1)*G768*H768)</f>
        <v/>
      </c>
      <c r="J768" s="13"/>
      <c r="K768" s="13"/>
    </row>
    <row r="769" customFormat="false" ht="15" hidden="false" customHeight="false" outlineLevel="0" collapsed="false">
      <c r="A769" s="12"/>
      <c r="B769" s="13"/>
      <c r="C769" s="13"/>
      <c r="D769" s="13"/>
      <c r="E769" s="7" t="str">
        <f aca="false">IF(D769="","",IFERROR(INDEX(Materiali!$B:$B,MATCH(D769,Materiali!$A:$A,0)),"codice?"))</f>
        <v/>
      </c>
      <c r="F769" s="13"/>
      <c r="G769" s="13"/>
      <c r="H769" s="9" t="str">
        <f aca="false">IF(D769="","",IFERROR(INDEX(Materiali!$C:$C,MATCH(D769,Materiali!$A:$A,0)),0))</f>
        <v/>
      </c>
      <c r="I769" s="9" t="str">
        <f aca="false">IF(OR(G769="",H769=""),"",IF(F769="Uscita",-1,1)*G769*H769)</f>
        <v/>
      </c>
      <c r="J769" s="13"/>
      <c r="K769" s="13"/>
    </row>
    <row r="770" customFormat="false" ht="15" hidden="false" customHeight="false" outlineLevel="0" collapsed="false">
      <c r="A770" s="12"/>
      <c r="B770" s="13"/>
      <c r="C770" s="13"/>
      <c r="D770" s="13"/>
      <c r="E770" s="7" t="str">
        <f aca="false">IF(D770="","",IFERROR(INDEX(Materiali!$B:$B,MATCH(D770,Materiali!$A:$A,0)),"codice?"))</f>
        <v/>
      </c>
      <c r="F770" s="13"/>
      <c r="G770" s="13"/>
      <c r="H770" s="9" t="str">
        <f aca="false">IF(D770="","",IFERROR(INDEX(Materiali!$C:$C,MATCH(D770,Materiali!$A:$A,0)),0))</f>
        <v/>
      </c>
      <c r="I770" s="9" t="str">
        <f aca="false">IF(OR(G770="",H770=""),"",IF(F770="Uscita",-1,1)*G770*H770)</f>
        <v/>
      </c>
      <c r="J770" s="13"/>
      <c r="K770" s="13"/>
    </row>
    <row r="771" customFormat="false" ht="15" hidden="false" customHeight="false" outlineLevel="0" collapsed="false">
      <c r="A771" s="12"/>
      <c r="B771" s="13"/>
      <c r="C771" s="13"/>
      <c r="D771" s="13"/>
      <c r="E771" s="7" t="str">
        <f aca="false">IF(D771="","",IFERROR(INDEX(Materiali!$B:$B,MATCH(D771,Materiali!$A:$A,0)),"codice?"))</f>
        <v/>
      </c>
      <c r="F771" s="13"/>
      <c r="G771" s="13"/>
      <c r="H771" s="9" t="str">
        <f aca="false">IF(D771="","",IFERROR(INDEX(Materiali!$C:$C,MATCH(D771,Materiali!$A:$A,0)),0))</f>
        <v/>
      </c>
      <c r="I771" s="9" t="str">
        <f aca="false">IF(OR(G771="",H771=""),"",IF(F771="Uscita",-1,1)*G771*H771)</f>
        <v/>
      </c>
      <c r="J771" s="13"/>
      <c r="K771" s="13"/>
    </row>
    <row r="772" customFormat="false" ht="15" hidden="false" customHeight="false" outlineLevel="0" collapsed="false">
      <c r="A772" s="12"/>
      <c r="B772" s="13"/>
      <c r="C772" s="13"/>
      <c r="D772" s="13"/>
      <c r="E772" s="7" t="str">
        <f aca="false">IF(D772="","",IFERROR(INDEX(Materiali!$B:$B,MATCH(D772,Materiali!$A:$A,0)),"codice?"))</f>
        <v/>
      </c>
      <c r="F772" s="13"/>
      <c r="G772" s="13"/>
      <c r="H772" s="9" t="str">
        <f aca="false">IF(D772="","",IFERROR(INDEX(Materiali!$C:$C,MATCH(D772,Materiali!$A:$A,0)),0))</f>
        <v/>
      </c>
      <c r="I772" s="9" t="str">
        <f aca="false">IF(OR(G772="",H772=""),"",IF(F772="Uscita",-1,1)*G772*H772)</f>
        <v/>
      </c>
      <c r="J772" s="13"/>
      <c r="K772" s="13"/>
    </row>
    <row r="773" customFormat="false" ht="15" hidden="false" customHeight="false" outlineLevel="0" collapsed="false">
      <c r="A773" s="12"/>
      <c r="B773" s="13"/>
      <c r="C773" s="13"/>
      <c r="D773" s="13"/>
      <c r="E773" s="7" t="str">
        <f aca="false">IF(D773="","",IFERROR(INDEX(Materiali!$B:$B,MATCH(D773,Materiali!$A:$A,0)),"codice?"))</f>
        <v/>
      </c>
      <c r="F773" s="13"/>
      <c r="G773" s="13"/>
      <c r="H773" s="9" t="str">
        <f aca="false">IF(D773="","",IFERROR(INDEX(Materiali!$C:$C,MATCH(D773,Materiali!$A:$A,0)),0))</f>
        <v/>
      </c>
      <c r="I773" s="9" t="str">
        <f aca="false">IF(OR(G773="",H773=""),"",IF(F773="Uscita",-1,1)*G773*H773)</f>
        <v/>
      </c>
      <c r="J773" s="13"/>
      <c r="K773" s="13"/>
    </row>
    <row r="774" customFormat="false" ht="15" hidden="false" customHeight="false" outlineLevel="0" collapsed="false">
      <c r="A774" s="12"/>
      <c r="B774" s="13"/>
      <c r="C774" s="13"/>
      <c r="D774" s="13"/>
      <c r="E774" s="7" t="str">
        <f aca="false">IF(D774="","",IFERROR(INDEX(Materiali!$B:$B,MATCH(D774,Materiali!$A:$A,0)),"codice?"))</f>
        <v/>
      </c>
      <c r="F774" s="13"/>
      <c r="G774" s="13"/>
      <c r="H774" s="9" t="str">
        <f aca="false">IF(D774="","",IFERROR(INDEX(Materiali!$C:$C,MATCH(D774,Materiali!$A:$A,0)),0))</f>
        <v/>
      </c>
      <c r="I774" s="9" t="str">
        <f aca="false">IF(OR(G774="",H774=""),"",IF(F774="Uscita",-1,1)*G774*H774)</f>
        <v/>
      </c>
      <c r="J774" s="13"/>
      <c r="K774" s="13"/>
    </row>
    <row r="775" customFormat="false" ht="15" hidden="false" customHeight="false" outlineLevel="0" collapsed="false">
      <c r="A775" s="12"/>
      <c r="B775" s="13"/>
      <c r="C775" s="13"/>
      <c r="D775" s="13"/>
      <c r="E775" s="7" t="str">
        <f aca="false">IF(D775="","",IFERROR(INDEX(Materiali!$B:$B,MATCH(D775,Materiali!$A:$A,0)),"codice?"))</f>
        <v/>
      </c>
      <c r="F775" s="13"/>
      <c r="G775" s="13"/>
      <c r="H775" s="9" t="str">
        <f aca="false">IF(D775="","",IFERROR(INDEX(Materiali!$C:$C,MATCH(D775,Materiali!$A:$A,0)),0))</f>
        <v/>
      </c>
      <c r="I775" s="9" t="str">
        <f aca="false">IF(OR(G775="",H775=""),"",IF(F775="Uscita",-1,1)*G775*H775)</f>
        <v/>
      </c>
      <c r="J775" s="13"/>
      <c r="K775" s="13"/>
    </row>
    <row r="776" customFormat="false" ht="15" hidden="false" customHeight="false" outlineLevel="0" collapsed="false">
      <c r="A776" s="12"/>
      <c r="B776" s="13"/>
      <c r="C776" s="13"/>
      <c r="D776" s="13"/>
      <c r="E776" s="7" t="str">
        <f aca="false">IF(D776="","",IFERROR(INDEX(Materiali!$B:$B,MATCH(D776,Materiali!$A:$A,0)),"codice?"))</f>
        <v/>
      </c>
      <c r="F776" s="13"/>
      <c r="G776" s="13"/>
      <c r="H776" s="9" t="str">
        <f aca="false">IF(D776="","",IFERROR(INDEX(Materiali!$C:$C,MATCH(D776,Materiali!$A:$A,0)),0))</f>
        <v/>
      </c>
      <c r="I776" s="9" t="str">
        <f aca="false">IF(OR(G776="",H776=""),"",IF(F776="Uscita",-1,1)*G776*H776)</f>
        <v/>
      </c>
      <c r="J776" s="13"/>
      <c r="K776" s="13"/>
    </row>
    <row r="777" customFormat="false" ht="15" hidden="false" customHeight="false" outlineLevel="0" collapsed="false">
      <c r="A777" s="12"/>
      <c r="B777" s="13"/>
      <c r="C777" s="13"/>
      <c r="D777" s="13"/>
      <c r="E777" s="7" t="str">
        <f aca="false">IF(D777="","",IFERROR(INDEX(Materiali!$B:$B,MATCH(D777,Materiali!$A:$A,0)),"codice?"))</f>
        <v/>
      </c>
      <c r="F777" s="13"/>
      <c r="G777" s="13"/>
      <c r="H777" s="9" t="str">
        <f aca="false">IF(D777="","",IFERROR(INDEX(Materiali!$C:$C,MATCH(D777,Materiali!$A:$A,0)),0))</f>
        <v/>
      </c>
      <c r="I777" s="9" t="str">
        <f aca="false">IF(OR(G777="",H777=""),"",IF(F777="Uscita",-1,1)*G777*H777)</f>
        <v/>
      </c>
      <c r="J777" s="13"/>
      <c r="K777" s="13"/>
    </row>
    <row r="778" customFormat="false" ht="15" hidden="false" customHeight="false" outlineLevel="0" collapsed="false">
      <c r="A778" s="12"/>
      <c r="B778" s="13"/>
      <c r="C778" s="13"/>
      <c r="D778" s="13"/>
      <c r="E778" s="7" t="str">
        <f aca="false">IF(D778="","",IFERROR(INDEX(Materiali!$B:$B,MATCH(D778,Materiali!$A:$A,0)),"codice?"))</f>
        <v/>
      </c>
      <c r="F778" s="13"/>
      <c r="G778" s="13"/>
      <c r="H778" s="9" t="str">
        <f aca="false">IF(D778="","",IFERROR(INDEX(Materiali!$C:$C,MATCH(D778,Materiali!$A:$A,0)),0))</f>
        <v/>
      </c>
      <c r="I778" s="9" t="str">
        <f aca="false">IF(OR(G778="",H778=""),"",IF(F778="Uscita",-1,1)*G778*H778)</f>
        <v/>
      </c>
      <c r="J778" s="13"/>
      <c r="K778" s="13"/>
    </row>
    <row r="779" customFormat="false" ht="15" hidden="false" customHeight="false" outlineLevel="0" collapsed="false">
      <c r="A779" s="12"/>
      <c r="B779" s="13"/>
      <c r="C779" s="13"/>
      <c r="D779" s="13"/>
      <c r="E779" s="7" t="str">
        <f aca="false">IF(D779="","",IFERROR(INDEX(Materiali!$B:$B,MATCH(D779,Materiali!$A:$A,0)),"codice?"))</f>
        <v/>
      </c>
      <c r="F779" s="13"/>
      <c r="G779" s="13"/>
      <c r="H779" s="9" t="str">
        <f aca="false">IF(D779="","",IFERROR(INDEX(Materiali!$C:$C,MATCH(D779,Materiali!$A:$A,0)),0))</f>
        <v/>
      </c>
      <c r="I779" s="9" t="str">
        <f aca="false">IF(OR(G779="",H779=""),"",IF(F779="Uscita",-1,1)*G779*H779)</f>
        <v/>
      </c>
      <c r="J779" s="13"/>
      <c r="K779" s="13"/>
    </row>
    <row r="780" customFormat="false" ht="15" hidden="false" customHeight="false" outlineLevel="0" collapsed="false">
      <c r="A780" s="12"/>
      <c r="B780" s="13"/>
      <c r="C780" s="13"/>
      <c r="D780" s="13"/>
      <c r="E780" s="7" t="str">
        <f aca="false">IF(D780="","",IFERROR(INDEX(Materiali!$B:$B,MATCH(D780,Materiali!$A:$A,0)),"codice?"))</f>
        <v/>
      </c>
      <c r="F780" s="13"/>
      <c r="G780" s="13"/>
      <c r="H780" s="9" t="str">
        <f aca="false">IF(D780="","",IFERROR(INDEX(Materiali!$C:$C,MATCH(D780,Materiali!$A:$A,0)),0))</f>
        <v/>
      </c>
      <c r="I780" s="9" t="str">
        <f aca="false">IF(OR(G780="",H780=""),"",IF(F780="Uscita",-1,1)*G780*H780)</f>
        <v/>
      </c>
      <c r="J780" s="13"/>
      <c r="K780" s="13"/>
    </row>
    <row r="781" customFormat="false" ht="15" hidden="false" customHeight="false" outlineLevel="0" collapsed="false">
      <c r="A781" s="12"/>
      <c r="B781" s="13"/>
      <c r="C781" s="13"/>
      <c r="D781" s="13"/>
      <c r="E781" s="7" t="str">
        <f aca="false">IF(D781="","",IFERROR(INDEX(Materiali!$B:$B,MATCH(D781,Materiali!$A:$A,0)),"codice?"))</f>
        <v/>
      </c>
      <c r="F781" s="13"/>
      <c r="G781" s="13"/>
      <c r="H781" s="9" t="str">
        <f aca="false">IF(D781="","",IFERROR(INDEX(Materiali!$C:$C,MATCH(D781,Materiali!$A:$A,0)),0))</f>
        <v/>
      </c>
      <c r="I781" s="9" t="str">
        <f aca="false">IF(OR(G781="",H781=""),"",IF(F781="Uscita",-1,1)*G781*H781)</f>
        <v/>
      </c>
      <c r="J781" s="13"/>
      <c r="K781" s="13"/>
    </row>
    <row r="782" customFormat="false" ht="15" hidden="false" customHeight="false" outlineLevel="0" collapsed="false">
      <c r="A782" s="12"/>
      <c r="B782" s="13"/>
      <c r="C782" s="13"/>
      <c r="D782" s="13"/>
      <c r="E782" s="7" t="str">
        <f aca="false">IF(D782="","",IFERROR(INDEX(Materiali!$B:$B,MATCH(D782,Materiali!$A:$A,0)),"codice?"))</f>
        <v/>
      </c>
      <c r="F782" s="13"/>
      <c r="G782" s="13"/>
      <c r="H782" s="9" t="str">
        <f aca="false">IF(D782="","",IFERROR(INDEX(Materiali!$C:$C,MATCH(D782,Materiali!$A:$A,0)),0))</f>
        <v/>
      </c>
      <c r="I782" s="9" t="str">
        <f aca="false">IF(OR(G782="",H782=""),"",IF(F782="Uscita",-1,1)*G782*H782)</f>
        <v/>
      </c>
      <c r="J782" s="13"/>
      <c r="K782" s="13"/>
    </row>
    <row r="783" customFormat="false" ht="15" hidden="false" customHeight="false" outlineLevel="0" collapsed="false">
      <c r="A783" s="12"/>
      <c r="B783" s="13"/>
      <c r="C783" s="13"/>
      <c r="D783" s="13"/>
      <c r="E783" s="7" t="str">
        <f aca="false">IF(D783="","",IFERROR(INDEX(Materiali!$B:$B,MATCH(D783,Materiali!$A:$A,0)),"codice?"))</f>
        <v/>
      </c>
      <c r="F783" s="13"/>
      <c r="G783" s="13"/>
      <c r="H783" s="9" t="str">
        <f aca="false">IF(D783="","",IFERROR(INDEX(Materiali!$C:$C,MATCH(D783,Materiali!$A:$A,0)),0))</f>
        <v/>
      </c>
      <c r="I783" s="9" t="str">
        <f aca="false">IF(OR(G783="",H783=""),"",IF(F783="Uscita",-1,1)*G783*H783)</f>
        <v/>
      </c>
      <c r="J783" s="13"/>
      <c r="K783" s="13"/>
    </row>
    <row r="784" customFormat="false" ht="15" hidden="false" customHeight="false" outlineLevel="0" collapsed="false">
      <c r="A784" s="12"/>
      <c r="B784" s="13"/>
      <c r="C784" s="13"/>
      <c r="D784" s="13"/>
      <c r="E784" s="7" t="str">
        <f aca="false">IF(D784="","",IFERROR(INDEX(Materiali!$B:$B,MATCH(D784,Materiali!$A:$A,0)),"codice?"))</f>
        <v/>
      </c>
      <c r="F784" s="13"/>
      <c r="G784" s="13"/>
      <c r="H784" s="9" t="str">
        <f aca="false">IF(D784="","",IFERROR(INDEX(Materiali!$C:$C,MATCH(D784,Materiali!$A:$A,0)),0))</f>
        <v/>
      </c>
      <c r="I784" s="9" t="str">
        <f aca="false">IF(OR(G784="",H784=""),"",IF(F784="Uscita",-1,1)*G784*H784)</f>
        <v/>
      </c>
      <c r="J784" s="13"/>
      <c r="K784" s="13"/>
    </row>
    <row r="785" customFormat="false" ht="15" hidden="false" customHeight="false" outlineLevel="0" collapsed="false">
      <c r="A785" s="12"/>
      <c r="B785" s="13"/>
      <c r="C785" s="13"/>
      <c r="D785" s="13"/>
      <c r="E785" s="7" t="str">
        <f aca="false">IF(D785="","",IFERROR(INDEX(Materiali!$B:$B,MATCH(D785,Materiali!$A:$A,0)),"codice?"))</f>
        <v/>
      </c>
      <c r="F785" s="13"/>
      <c r="G785" s="13"/>
      <c r="H785" s="9" t="str">
        <f aca="false">IF(D785="","",IFERROR(INDEX(Materiali!$C:$C,MATCH(D785,Materiali!$A:$A,0)),0))</f>
        <v/>
      </c>
      <c r="I785" s="9" t="str">
        <f aca="false">IF(OR(G785="",H785=""),"",IF(F785="Uscita",-1,1)*G785*H785)</f>
        <v/>
      </c>
      <c r="J785" s="13"/>
      <c r="K785" s="13"/>
    </row>
    <row r="786" customFormat="false" ht="15" hidden="false" customHeight="false" outlineLevel="0" collapsed="false">
      <c r="A786" s="12"/>
      <c r="B786" s="13"/>
      <c r="C786" s="13"/>
      <c r="D786" s="13"/>
      <c r="E786" s="7" t="str">
        <f aca="false">IF(D786="","",IFERROR(INDEX(Materiali!$B:$B,MATCH(D786,Materiali!$A:$A,0)),"codice?"))</f>
        <v/>
      </c>
      <c r="F786" s="13"/>
      <c r="G786" s="13"/>
      <c r="H786" s="9" t="str">
        <f aca="false">IF(D786="","",IFERROR(INDEX(Materiali!$C:$C,MATCH(D786,Materiali!$A:$A,0)),0))</f>
        <v/>
      </c>
      <c r="I786" s="9" t="str">
        <f aca="false">IF(OR(G786="",H786=""),"",IF(F786="Uscita",-1,1)*G786*H786)</f>
        <v/>
      </c>
      <c r="J786" s="13"/>
      <c r="K786" s="13"/>
    </row>
    <row r="787" customFormat="false" ht="15" hidden="false" customHeight="false" outlineLevel="0" collapsed="false">
      <c r="A787" s="12"/>
      <c r="B787" s="13"/>
      <c r="C787" s="13"/>
      <c r="D787" s="13"/>
      <c r="E787" s="7" t="str">
        <f aca="false">IF(D787="","",IFERROR(INDEX(Materiali!$B:$B,MATCH(D787,Materiali!$A:$A,0)),"codice?"))</f>
        <v/>
      </c>
      <c r="F787" s="13"/>
      <c r="G787" s="13"/>
      <c r="H787" s="9" t="str">
        <f aca="false">IF(D787="","",IFERROR(INDEX(Materiali!$C:$C,MATCH(D787,Materiali!$A:$A,0)),0))</f>
        <v/>
      </c>
      <c r="I787" s="9" t="str">
        <f aca="false">IF(OR(G787="",H787=""),"",IF(F787="Uscita",-1,1)*G787*H787)</f>
        <v/>
      </c>
      <c r="J787" s="13"/>
      <c r="K787" s="13"/>
    </row>
    <row r="788" customFormat="false" ht="15" hidden="false" customHeight="false" outlineLevel="0" collapsed="false">
      <c r="A788" s="12"/>
      <c r="B788" s="13"/>
      <c r="C788" s="13"/>
      <c r="D788" s="13"/>
      <c r="E788" s="7" t="str">
        <f aca="false">IF(D788="","",IFERROR(INDEX(Materiali!$B:$B,MATCH(D788,Materiali!$A:$A,0)),"codice?"))</f>
        <v/>
      </c>
      <c r="F788" s="13"/>
      <c r="G788" s="13"/>
      <c r="H788" s="9" t="str">
        <f aca="false">IF(D788="","",IFERROR(INDEX(Materiali!$C:$C,MATCH(D788,Materiali!$A:$A,0)),0))</f>
        <v/>
      </c>
      <c r="I788" s="9" t="str">
        <f aca="false">IF(OR(G788="",H788=""),"",IF(F788="Uscita",-1,1)*G788*H788)</f>
        <v/>
      </c>
      <c r="J788" s="13"/>
      <c r="K788" s="13"/>
    </row>
    <row r="789" customFormat="false" ht="15" hidden="false" customHeight="false" outlineLevel="0" collapsed="false">
      <c r="A789" s="12"/>
      <c r="B789" s="13"/>
      <c r="C789" s="13"/>
      <c r="D789" s="13"/>
      <c r="E789" s="7" t="str">
        <f aca="false">IF(D789="","",IFERROR(INDEX(Materiali!$B:$B,MATCH(D789,Materiali!$A:$A,0)),"codice?"))</f>
        <v/>
      </c>
      <c r="F789" s="13"/>
      <c r="G789" s="13"/>
      <c r="H789" s="9" t="str">
        <f aca="false">IF(D789="","",IFERROR(INDEX(Materiali!$C:$C,MATCH(D789,Materiali!$A:$A,0)),0))</f>
        <v/>
      </c>
      <c r="I789" s="9" t="str">
        <f aca="false">IF(OR(G789="",H789=""),"",IF(F789="Uscita",-1,1)*G789*H789)</f>
        <v/>
      </c>
      <c r="J789" s="13"/>
      <c r="K789" s="13"/>
    </row>
    <row r="790" customFormat="false" ht="15" hidden="false" customHeight="false" outlineLevel="0" collapsed="false">
      <c r="A790" s="12"/>
      <c r="B790" s="13"/>
      <c r="C790" s="13"/>
      <c r="D790" s="13"/>
      <c r="E790" s="7" t="str">
        <f aca="false">IF(D790="","",IFERROR(INDEX(Materiali!$B:$B,MATCH(D790,Materiali!$A:$A,0)),"codice?"))</f>
        <v/>
      </c>
      <c r="F790" s="13"/>
      <c r="G790" s="13"/>
      <c r="H790" s="9" t="str">
        <f aca="false">IF(D790="","",IFERROR(INDEX(Materiali!$C:$C,MATCH(D790,Materiali!$A:$A,0)),0))</f>
        <v/>
      </c>
      <c r="I790" s="9" t="str">
        <f aca="false">IF(OR(G790="",H790=""),"",IF(F790="Uscita",-1,1)*G790*H790)</f>
        <v/>
      </c>
      <c r="J790" s="13"/>
      <c r="K790" s="13"/>
    </row>
    <row r="791" customFormat="false" ht="15" hidden="false" customHeight="false" outlineLevel="0" collapsed="false">
      <c r="A791" s="12"/>
      <c r="B791" s="13"/>
      <c r="C791" s="13"/>
      <c r="D791" s="13"/>
      <c r="E791" s="7" t="str">
        <f aca="false">IF(D791="","",IFERROR(INDEX(Materiali!$B:$B,MATCH(D791,Materiali!$A:$A,0)),"codice?"))</f>
        <v/>
      </c>
      <c r="F791" s="13"/>
      <c r="G791" s="13"/>
      <c r="H791" s="9" t="str">
        <f aca="false">IF(D791="","",IFERROR(INDEX(Materiali!$C:$C,MATCH(D791,Materiali!$A:$A,0)),0))</f>
        <v/>
      </c>
      <c r="I791" s="9" t="str">
        <f aca="false">IF(OR(G791="",H791=""),"",IF(F791="Uscita",-1,1)*G791*H791)</f>
        <v/>
      </c>
      <c r="J791" s="13"/>
      <c r="K791" s="13"/>
    </row>
    <row r="792" customFormat="false" ht="15" hidden="false" customHeight="false" outlineLevel="0" collapsed="false">
      <c r="A792" s="12"/>
      <c r="B792" s="13"/>
      <c r="C792" s="13"/>
      <c r="D792" s="13"/>
      <c r="E792" s="7" t="str">
        <f aca="false">IF(D792="","",IFERROR(INDEX(Materiali!$B:$B,MATCH(D792,Materiali!$A:$A,0)),"codice?"))</f>
        <v/>
      </c>
      <c r="F792" s="13"/>
      <c r="G792" s="13"/>
      <c r="H792" s="9" t="str">
        <f aca="false">IF(D792="","",IFERROR(INDEX(Materiali!$C:$C,MATCH(D792,Materiali!$A:$A,0)),0))</f>
        <v/>
      </c>
      <c r="I792" s="9" t="str">
        <f aca="false">IF(OR(G792="",H792=""),"",IF(F792="Uscita",-1,1)*G792*H792)</f>
        <v/>
      </c>
      <c r="J792" s="13"/>
      <c r="K792" s="13"/>
    </row>
    <row r="793" customFormat="false" ht="15" hidden="false" customHeight="false" outlineLevel="0" collapsed="false">
      <c r="A793" s="12"/>
      <c r="B793" s="13"/>
      <c r="C793" s="13"/>
      <c r="D793" s="13"/>
      <c r="E793" s="7" t="str">
        <f aca="false">IF(D793="","",IFERROR(INDEX(Materiali!$B:$B,MATCH(D793,Materiali!$A:$A,0)),"codice?"))</f>
        <v/>
      </c>
      <c r="F793" s="13"/>
      <c r="G793" s="13"/>
      <c r="H793" s="9" t="str">
        <f aca="false">IF(D793="","",IFERROR(INDEX(Materiali!$C:$C,MATCH(D793,Materiali!$A:$A,0)),0))</f>
        <v/>
      </c>
      <c r="I793" s="9" t="str">
        <f aca="false">IF(OR(G793="",H793=""),"",IF(F793="Uscita",-1,1)*G793*H793)</f>
        <v/>
      </c>
      <c r="J793" s="13"/>
      <c r="K793" s="13"/>
    </row>
    <row r="794" customFormat="false" ht="15" hidden="false" customHeight="false" outlineLevel="0" collapsed="false">
      <c r="A794" s="12"/>
      <c r="B794" s="13"/>
      <c r="C794" s="13"/>
      <c r="D794" s="13"/>
      <c r="E794" s="7" t="str">
        <f aca="false">IF(D794="","",IFERROR(INDEX(Materiali!$B:$B,MATCH(D794,Materiali!$A:$A,0)),"codice?"))</f>
        <v/>
      </c>
      <c r="F794" s="13"/>
      <c r="G794" s="13"/>
      <c r="H794" s="9" t="str">
        <f aca="false">IF(D794="","",IFERROR(INDEX(Materiali!$C:$C,MATCH(D794,Materiali!$A:$A,0)),0))</f>
        <v/>
      </c>
      <c r="I794" s="9" t="str">
        <f aca="false">IF(OR(G794="",H794=""),"",IF(F794="Uscita",-1,1)*G794*H794)</f>
        <v/>
      </c>
      <c r="J794" s="13"/>
      <c r="K794" s="13"/>
    </row>
    <row r="795" customFormat="false" ht="15" hidden="false" customHeight="false" outlineLevel="0" collapsed="false">
      <c r="A795" s="12"/>
      <c r="B795" s="13"/>
      <c r="C795" s="13"/>
      <c r="D795" s="13"/>
      <c r="E795" s="7" t="str">
        <f aca="false">IF(D795="","",IFERROR(INDEX(Materiali!$B:$B,MATCH(D795,Materiali!$A:$A,0)),"codice?"))</f>
        <v/>
      </c>
      <c r="F795" s="13"/>
      <c r="G795" s="13"/>
      <c r="H795" s="9" t="str">
        <f aca="false">IF(D795="","",IFERROR(INDEX(Materiali!$C:$C,MATCH(D795,Materiali!$A:$A,0)),0))</f>
        <v/>
      </c>
      <c r="I795" s="9" t="str">
        <f aca="false">IF(OR(G795="",H795=""),"",IF(F795="Uscita",-1,1)*G795*H795)</f>
        <v/>
      </c>
      <c r="J795" s="13"/>
      <c r="K795" s="13"/>
    </row>
    <row r="796" customFormat="false" ht="15" hidden="false" customHeight="false" outlineLevel="0" collapsed="false">
      <c r="A796" s="12"/>
      <c r="B796" s="13"/>
      <c r="C796" s="13"/>
      <c r="D796" s="13"/>
      <c r="E796" s="7" t="str">
        <f aca="false">IF(D796="","",IFERROR(INDEX(Materiali!$B:$B,MATCH(D796,Materiali!$A:$A,0)),"codice?"))</f>
        <v/>
      </c>
      <c r="F796" s="13"/>
      <c r="G796" s="13"/>
      <c r="H796" s="9" t="str">
        <f aca="false">IF(D796="","",IFERROR(INDEX(Materiali!$C:$C,MATCH(D796,Materiali!$A:$A,0)),0))</f>
        <v/>
      </c>
      <c r="I796" s="9" t="str">
        <f aca="false">IF(OR(G796="",H796=""),"",IF(F796="Uscita",-1,1)*G796*H796)</f>
        <v/>
      </c>
      <c r="J796" s="13"/>
      <c r="K796" s="13"/>
    </row>
    <row r="797" customFormat="false" ht="15" hidden="false" customHeight="false" outlineLevel="0" collapsed="false">
      <c r="A797" s="12"/>
      <c r="B797" s="13"/>
      <c r="C797" s="13"/>
      <c r="D797" s="13"/>
      <c r="E797" s="7" t="str">
        <f aca="false">IF(D797="","",IFERROR(INDEX(Materiali!$B:$B,MATCH(D797,Materiali!$A:$A,0)),"codice?"))</f>
        <v/>
      </c>
      <c r="F797" s="13"/>
      <c r="G797" s="13"/>
      <c r="H797" s="9" t="str">
        <f aca="false">IF(D797="","",IFERROR(INDEX(Materiali!$C:$C,MATCH(D797,Materiali!$A:$A,0)),0))</f>
        <v/>
      </c>
      <c r="I797" s="9" t="str">
        <f aca="false">IF(OR(G797="",H797=""),"",IF(F797="Uscita",-1,1)*G797*H797)</f>
        <v/>
      </c>
      <c r="J797" s="13"/>
      <c r="K797" s="13"/>
    </row>
    <row r="798" customFormat="false" ht="15" hidden="false" customHeight="false" outlineLevel="0" collapsed="false">
      <c r="A798" s="12"/>
      <c r="B798" s="13"/>
      <c r="C798" s="13"/>
      <c r="D798" s="13"/>
      <c r="E798" s="7" t="str">
        <f aca="false">IF(D798="","",IFERROR(INDEX(Materiali!$B:$B,MATCH(D798,Materiali!$A:$A,0)),"codice?"))</f>
        <v/>
      </c>
      <c r="F798" s="13"/>
      <c r="G798" s="13"/>
      <c r="H798" s="9" t="str">
        <f aca="false">IF(D798="","",IFERROR(INDEX(Materiali!$C:$C,MATCH(D798,Materiali!$A:$A,0)),0))</f>
        <v/>
      </c>
      <c r="I798" s="9" t="str">
        <f aca="false">IF(OR(G798="",H798=""),"",IF(F798="Uscita",-1,1)*G798*H798)</f>
        <v/>
      </c>
      <c r="J798" s="13"/>
      <c r="K798" s="13"/>
    </row>
    <row r="799" customFormat="false" ht="15" hidden="false" customHeight="false" outlineLevel="0" collapsed="false">
      <c r="A799" s="12"/>
      <c r="B799" s="13"/>
      <c r="C799" s="13"/>
      <c r="D799" s="13"/>
      <c r="E799" s="7" t="str">
        <f aca="false">IF(D799="","",IFERROR(INDEX(Materiali!$B:$B,MATCH(D799,Materiali!$A:$A,0)),"codice?"))</f>
        <v/>
      </c>
      <c r="F799" s="13"/>
      <c r="G799" s="13"/>
      <c r="H799" s="9" t="str">
        <f aca="false">IF(D799="","",IFERROR(INDEX(Materiali!$C:$C,MATCH(D799,Materiali!$A:$A,0)),0))</f>
        <v/>
      </c>
      <c r="I799" s="9" t="str">
        <f aca="false">IF(OR(G799="",H799=""),"",IF(F799="Uscita",-1,1)*G799*H799)</f>
        <v/>
      </c>
      <c r="J799" s="13"/>
      <c r="K799" s="13"/>
    </row>
    <row r="800" customFormat="false" ht="15" hidden="false" customHeight="false" outlineLevel="0" collapsed="false">
      <c r="A800" s="12"/>
      <c r="B800" s="13"/>
      <c r="C800" s="13"/>
      <c r="D800" s="13"/>
      <c r="E800" s="7" t="str">
        <f aca="false">IF(D800="","",IFERROR(INDEX(Materiali!$B:$B,MATCH(D800,Materiali!$A:$A,0)),"codice?"))</f>
        <v/>
      </c>
      <c r="F800" s="13"/>
      <c r="G800" s="13"/>
      <c r="H800" s="9" t="str">
        <f aca="false">IF(D800="","",IFERROR(INDEX(Materiali!$C:$C,MATCH(D800,Materiali!$A:$A,0)),0))</f>
        <v/>
      </c>
      <c r="I800" s="9" t="str">
        <f aca="false">IF(OR(G800="",H800=""),"",IF(F800="Uscita",-1,1)*G800*H800)</f>
        <v/>
      </c>
      <c r="J800" s="13"/>
      <c r="K800" s="13"/>
    </row>
    <row r="801" customFormat="false" ht="15" hidden="false" customHeight="false" outlineLevel="0" collapsed="false">
      <c r="A801" s="12"/>
      <c r="B801" s="13"/>
      <c r="C801" s="13"/>
      <c r="D801" s="13"/>
      <c r="E801" s="7" t="str">
        <f aca="false">IF(D801="","",IFERROR(INDEX(Materiali!$B:$B,MATCH(D801,Materiali!$A:$A,0)),"codice?"))</f>
        <v/>
      </c>
      <c r="F801" s="13"/>
      <c r="G801" s="13"/>
      <c r="H801" s="9" t="str">
        <f aca="false">IF(D801="","",IFERROR(INDEX(Materiali!$C:$C,MATCH(D801,Materiali!$A:$A,0)),0))</f>
        <v/>
      </c>
      <c r="I801" s="9" t="str">
        <f aca="false">IF(OR(G801="",H801=""),"",IF(F801="Uscita",-1,1)*G801*H801)</f>
        <v/>
      </c>
      <c r="J801" s="13"/>
      <c r="K801" s="13"/>
    </row>
    <row r="802" customFormat="false" ht="15" hidden="false" customHeight="false" outlineLevel="0" collapsed="false">
      <c r="A802" s="12"/>
      <c r="B802" s="13"/>
      <c r="C802" s="13"/>
      <c r="D802" s="13"/>
      <c r="E802" s="7" t="str">
        <f aca="false">IF(D802="","",IFERROR(INDEX(Materiali!$B:$B,MATCH(D802,Materiali!$A:$A,0)),"codice?"))</f>
        <v/>
      </c>
      <c r="F802" s="13"/>
      <c r="G802" s="13"/>
      <c r="H802" s="9" t="str">
        <f aca="false">IF(D802="","",IFERROR(INDEX(Materiali!$C:$C,MATCH(D802,Materiali!$A:$A,0)),0))</f>
        <v/>
      </c>
      <c r="I802" s="9" t="str">
        <f aca="false">IF(OR(G802="",H802=""),"",IF(F802="Uscita",-1,1)*G802*H802)</f>
        <v/>
      </c>
      <c r="J802" s="13"/>
      <c r="K802" s="13"/>
    </row>
    <row r="803" customFormat="false" ht="15" hidden="false" customHeight="false" outlineLevel="0" collapsed="false">
      <c r="A803" s="12"/>
      <c r="B803" s="13"/>
      <c r="C803" s="13"/>
      <c r="D803" s="13"/>
      <c r="E803" s="7" t="str">
        <f aca="false">IF(D803="","",IFERROR(INDEX(Materiali!$B:$B,MATCH(D803,Materiali!$A:$A,0)),"codice?"))</f>
        <v/>
      </c>
      <c r="F803" s="13"/>
      <c r="G803" s="13"/>
      <c r="H803" s="9" t="str">
        <f aca="false">IF(D803="","",IFERROR(INDEX(Materiali!$C:$C,MATCH(D803,Materiali!$A:$A,0)),0))</f>
        <v/>
      </c>
      <c r="I803" s="9" t="str">
        <f aca="false">IF(OR(G803="",H803=""),"",IF(F803="Uscita",-1,1)*G803*H803)</f>
        <v/>
      </c>
      <c r="J803" s="13"/>
      <c r="K803" s="13"/>
    </row>
    <row r="804" customFormat="false" ht="15" hidden="false" customHeight="false" outlineLevel="0" collapsed="false">
      <c r="A804" s="12"/>
      <c r="B804" s="13"/>
      <c r="C804" s="13"/>
      <c r="D804" s="13"/>
      <c r="E804" s="7" t="str">
        <f aca="false">IF(D804="","",IFERROR(INDEX(Materiali!$B:$B,MATCH(D804,Materiali!$A:$A,0)),"codice?"))</f>
        <v/>
      </c>
      <c r="F804" s="13"/>
      <c r="G804" s="13"/>
      <c r="H804" s="9" t="str">
        <f aca="false">IF(D804="","",IFERROR(INDEX(Materiali!$C:$C,MATCH(D804,Materiali!$A:$A,0)),0))</f>
        <v/>
      </c>
      <c r="I804" s="9" t="str">
        <f aca="false">IF(OR(G804="",H804=""),"",IF(F804="Uscita",-1,1)*G804*H804)</f>
        <v/>
      </c>
      <c r="J804" s="13"/>
      <c r="K804" s="13"/>
    </row>
    <row r="805" customFormat="false" ht="15" hidden="false" customHeight="false" outlineLevel="0" collapsed="false">
      <c r="A805" s="12"/>
      <c r="B805" s="13"/>
      <c r="C805" s="13"/>
      <c r="D805" s="13"/>
      <c r="E805" s="7" t="str">
        <f aca="false">IF(D805="","",IFERROR(INDEX(Materiali!$B:$B,MATCH(D805,Materiali!$A:$A,0)),"codice?"))</f>
        <v/>
      </c>
      <c r="F805" s="13"/>
      <c r="G805" s="13"/>
      <c r="H805" s="9" t="str">
        <f aca="false">IF(D805="","",IFERROR(INDEX(Materiali!$C:$C,MATCH(D805,Materiali!$A:$A,0)),0))</f>
        <v/>
      </c>
      <c r="I805" s="9" t="str">
        <f aca="false">IF(OR(G805="",H805=""),"",IF(F805="Uscita",-1,1)*G805*H805)</f>
        <v/>
      </c>
      <c r="J805" s="13"/>
      <c r="K805" s="13"/>
    </row>
    <row r="806" customFormat="false" ht="15" hidden="false" customHeight="false" outlineLevel="0" collapsed="false">
      <c r="A806" s="12"/>
      <c r="B806" s="13"/>
      <c r="C806" s="13"/>
      <c r="D806" s="13"/>
      <c r="E806" s="7" t="str">
        <f aca="false">IF(D806="","",IFERROR(INDEX(Materiali!$B:$B,MATCH(D806,Materiali!$A:$A,0)),"codice?"))</f>
        <v/>
      </c>
      <c r="F806" s="13"/>
      <c r="G806" s="13"/>
      <c r="H806" s="9" t="str">
        <f aca="false">IF(D806="","",IFERROR(INDEX(Materiali!$C:$C,MATCH(D806,Materiali!$A:$A,0)),0))</f>
        <v/>
      </c>
      <c r="I806" s="9" t="str">
        <f aca="false">IF(OR(G806="",H806=""),"",IF(F806="Uscita",-1,1)*G806*H806)</f>
        <v/>
      </c>
      <c r="J806" s="13"/>
      <c r="K806" s="13"/>
    </row>
    <row r="807" customFormat="false" ht="15" hidden="false" customHeight="false" outlineLevel="0" collapsed="false">
      <c r="A807" s="12"/>
      <c r="B807" s="13"/>
      <c r="C807" s="13"/>
      <c r="D807" s="13"/>
      <c r="E807" s="7" t="str">
        <f aca="false">IF(D807="","",IFERROR(INDEX(Materiali!$B:$B,MATCH(D807,Materiali!$A:$A,0)),"codice?"))</f>
        <v/>
      </c>
      <c r="F807" s="13"/>
      <c r="G807" s="13"/>
      <c r="H807" s="9" t="str">
        <f aca="false">IF(D807="","",IFERROR(INDEX(Materiali!$C:$C,MATCH(D807,Materiali!$A:$A,0)),0))</f>
        <v/>
      </c>
      <c r="I807" s="9" t="str">
        <f aca="false">IF(OR(G807="",H807=""),"",IF(F807="Uscita",-1,1)*G807*H807)</f>
        <v/>
      </c>
      <c r="J807" s="13"/>
      <c r="K807" s="13"/>
    </row>
    <row r="808" customFormat="false" ht="15" hidden="false" customHeight="false" outlineLevel="0" collapsed="false">
      <c r="A808" s="12"/>
      <c r="B808" s="13"/>
      <c r="C808" s="13"/>
      <c r="D808" s="13"/>
      <c r="E808" s="7" t="str">
        <f aca="false">IF(D808="","",IFERROR(INDEX(Materiali!$B:$B,MATCH(D808,Materiali!$A:$A,0)),"codice?"))</f>
        <v/>
      </c>
      <c r="F808" s="13"/>
      <c r="G808" s="13"/>
      <c r="H808" s="9" t="str">
        <f aca="false">IF(D808="","",IFERROR(INDEX(Materiali!$C:$C,MATCH(D808,Materiali!$A:$A,0)),0))</f>
        <v/>
      </c>
      <c r="I808" s="9" t="str">
        <f aca="false">IF(OR(G808="",H808=""),"",IF(F808="Uscita",-1,1)*G808*H808)</f>
        <v/>
      </c>
      <c r="J808" s="13"/>
      <c r="K808" s="13"/>
    </row>
    <row r="809" customFormat="false" ht="15" hidden="false" customHeight="false" outlineLevel="0" collapsed="false">
      <c r="A809" s="12"/>
      <c r="B809" s="13"/>
      <c r="C809" s="13"/>
      <c r="D809" s="13"/>
      <c r="E809" s="7" t="str">
        <f aca="false">IF(D809="","",IFERROR(INDEX(Materiali!$B:$B,MATCH(D809,Materiali!$A:$A,0)),"codice?"))</f>
        <v/>
      </c>
      <c r="F809" s="13"/>
      <c r="G809" s="13"/>
      <c r="H809" s="9" t="str">
        <f aca="false">IF(D809="","",IFERROR(INDEX(Materiali!$C:$C,MATCH(D809,Materiali!$A:$A,0)),0))</f>
        <v/>
      </c>
      <c r="I809" s="9" t="str">
        <f aca="false">IF(OR(G809="",H809=""),"",IF(F809="Uscita",-1,1)*G809*H809)</f>
        <v/>
      </c>
      <c r="J809" s="13"/>
      <c r="K809" s="13"/>
    </row>
    <row r="810" customFormat="false" ht="15" hidden="false" customHeight="false" outlineLevel="0" collapsed="false">
      <c r="A810" s="12"/>
      <c r="B810" s="13"/>
      <c r="C810" s="13"/>
      <c r="D810" s="13"/>
      <c r="E810" s="7" t="str">
        <f aca="false">IF(D810="","",IFERROR(INDEX(Materiali!$B:$B,MATCH(D810,Materiali!$A:$A,0)),"codice?"))</f>
        <v/>
      </c>
      <c r="F810" s="13"/>
      <c r="G810" s="13"/>
      <c r="H810" s="9" t="str">
        <f aca="false">IF(D810="","",IFERROR(INDEX(Materiali!$C:$C,MATCH(D810,Materiali!$A:$A,0)),0))</f>
        <v/>
      </c>
      <c r="I810" s="9" t="str">
        <f aca="false">IF(OR(G810="",H810=""),"",IF(F810="Uscita",-1,1)*G810*H810)</f>
        <v/>
      </c>
      <c r="J810" s="13"/>
      <c r="K810" s="13"/>
    </row>
    <row r="811" customFormat="false" ht="15" hidden="false" customHeight="false" outlineLevel="0" collapsed="false">
      <c r="A811" s="12"/>
      <c r="B811" s="13"/>
      <c r="C811" s="13"/>
      <c r="D811" s="13"/>
      <c r="E811" s="7" t="str">
        <f aca="false">IF(D811="","",IFERROR(INDEX(Materiali!$B:$B,MATCH(D811,Materiali!$A:$A,0)),"codice?"))</f>
        <v/>
      </c>
      <c r="F811" s="13"/>
      <c r="G811" s="13"/>
      <c r="H811" s="9" t="str">
        <f aca="false">IF(D811="","",IFERROR(INDEX(Materiali!$C:$C,MATCH(D811,Materiali!$A:$A,0)),0))</f>
        <v/>
      </c>
      <c r="I811" s="9" t="str">
        <f aca="false">IF(OR(G811="",H811=""),"",IF(F811="Uscita",-1,1)*G811*H811)</f>
        <v/>
      </c>
      <c r="J811" s="13"/>
      <c r="K811" s="13"/>
    </row>
    <row r="812" customFormat="false" ht="15" hidden="false" customHeight="false" outlineLevel="0" collapsed="false">
      <c r="A812" s="12"/>
      <c r="B812" s="13"/>
      <c r="C812" s="13"/>
      <c r="D812" s="13"/>
      <c r="E812" s="7" t="str">
        <f aca="false">IF(D812="","",IFERROR(INDEX(Materiali!$B:$B,MATCH(D812,Materiali!$A:$A,0)),"codice?"))</f>
        <v/>
      </c>
      <c r="F812" s="13"/>
      <c r="G812" s="13"/>
      <c r="H812" s="9" t="str">
        <f aca="false">IF(D812="","",IFERROR(INDEX(Materiali!$C:$C,MATCH(D812,Materiali!$A:$A,0)),0))</f>
        <v/>
      </c>
      <c r="I812" s="9" t="str">
        <f aca="false">IF(OR(G812="",H812=""),"",IF(F812="Uscita",-1,1)*G812*H812)</f>
        <v/>
      </c>
      <c r="J812" s="13"/>
      <c r="K812" s="13"/>
    </row>
    <row r="813" customFormat="false" ht="15" hidden="false" customHeight="false" outlineLevel="0" collapsed="false">
      <c r="A813" s="12"/>
      <c r="B813" s="13"/>
      <c r="C813" s="13"/>
      <c r="D813" s="13"/>
      <c r="E813" s="7" t="str">
        <f aca="false">IF(D813="","",IFERROR(INDEX(Materiali!$B:$B,MATCH(D813,Materiali!$A:$A,0)),"codice?"))</f>
        <v/>
      </c>
      <c r="F813" s="13"/>
      <c r="G813" s="13"/>
      <c r="H813" s="9" t="str">
        <f aca="false">IF(D813="","",IFERROR(INDEX(Materiali!$C:$C,MATCH(D813,Materiali!$A:$A,0)),0))</f>
        <v/>
      </c>
      <c r="I813" s="9" t="str">
        <f aca="false">IF(OR(G813="",H813=""),"",IF(F813="Uscita",-1,1)*G813*H813)</f>
        <v/>
      </c>
      <c r="J813" s="13"/>
      <c r="K813" s="13"/>
    </row>
    <row r="814" customFormat="false" ht="15" hidden="false" customHeight="false" outlineLevel="0" collapsed="false">
      <c r="A814" s="12"/>
      <c r="B814" s="13"/>
      <c r="C814" s="13"/>
      <c r="D814" s="13"/>
      <c r="E814" s="7" t="str">
        <f aca="false">IF(D814="","",IFERROR(INDEX(Materiali!$B:$B,MATCH(D814,Materiali!$A:$A,0)),"codice?"))</f>
        <v/>
      </c>
      <c r="F814" s="13"/>
      <c r="G814" s="13"/>
      <c r="H814" s="9" t="str">
        <f aca="false">IF(D814="","",IFERROR(INDEX(Materiali!$C:$C,MATCH(D814,Materiali!$A:$A,0)),0))</f>
        <v/>
      </c>
      <c r="I814" s="9" t="str">
        <f aca="false">IF(OR(G814="",H814=""),"",IF(F814="Uscita",-1,1)*G814*H814)</f>
        <v/>
      </c>
      <c r="J814" s="13"/>
      <c r="K814" s="13"/>
    </row>
    <row r="815" customFormat="false" ht="15" hidden="false" customHeight="false" outlineLevel="0" collapsed="false">
      <c r="A815" s="12"/>
      <c r="B815" s="13"/>
      <c r="C815" s="13"/>
      <c r="D815" s="13"/>
      <c r="E815" s="7" t="str">
        <f aca="false">IF(D815="","",IFERROR(INDEX(Materiali!$B:$B,MATCH(D815,Materiali!$A:$A,0)),"codice?"))</f>
        <v/>
      </c>
      <c r="F815" s="13"/>
      <c r="G815" s="13"/>
      <c r="H815" s="9" t="str">
        <f aca="false">IF(D815="","",IFERROR(INDEX(Materiali!$C:$C,MATCH(D815,Materiali!$A:$A,0)),0))</f>
        <v/>
      </c>
      <c r="I815" s="9" t="str">
        <f aca="false">IF(OR(G815="",H815=""),"",IF(F815="Uscita",-1,1)*G815*H815)</f>
        <v/>
      </c>
      <c r="J815" s="13"/>
      <c r="K815" s="13"/>
    </row>
    <row r="816" customFormat="false" ht="15" hidden="false" customHeight="false" outlineLevel="0" collapsed="false">
      <c r="A816" s="12"/>
      <c r="B816" s="13"/>
      <c r="C816" s="13"/>
      <c r="D816" s="13"/>
      <c r="E816" s="7" t="str">
        <f aca="false">IF(D816="","",IFERROR(INDEX(Materiali!$B:$B,MATCH(D816,Materiali!$A:$A,0)),"codice?"))</f>
        <v/>
      </c>
      <c r="F816" s="13"/>
      <c r="G816" s="13"/>
      <c r="H816" s="9" t="str">
        <f aca="false">IF(D816="","",IFERROR(INDEX(Materiali!$C:$C,MATCH(D816,Materiali!$A:$A,0)),0))</f>
        <v/>
      </c>
      <c r="I816" s="9" t="str">
        <f aca="false">IF(OR(G816="",H816=""),"",IF(F816="Uscita",-1,1)*G816*H816)</f>
        <v/>
      </c>
      <c r="J816" s="13"/>
      <c r="K816" s="13"/>
    </row>
    <row r="817" customFormat="false" ht="15" hidden="false" customHeight="false" outlineLevel="0" collapsed="false">
      <c r="A817" s="12"/>
      <c r="B817" s="13"/>
      <c r="C817" s="13"/>
      <c r="D817" s="13"/>
      <c r="E817" s="7" t="str">
        <f aca="false">IF(D817="","",IFERROR(INDEX(Materiali!$B:$B,MATCH(D817,Materiali!$A:$A,0)),"codice?"))</f>
        <v/>
      </c>
      <c r="F817" s="13"/>
      <c r="G817" s="13"/>
      <c r="H817" s="9" t="str">
        <f aca="false">IF(D817="","",IFERROR(INDEX(Materiali!$C:$C,MATCH(D817,Materiali!$A:$A,0)),0))</f>
        <v/>
      </c>
      <c r="I817" s="9" t="str">
        <f aca="false">IF(OR(G817="",H817=""),"",IF(F817="Uscita",-1,1)*G817*H817)</f>
        <v/>
      </c>
      <c r="J817" s="13"/>
      <c r="K817" s="13"/>
    </row>
    <row r="818" customFormat="false" ht="15" hidden="false" customHeight="false" outlineLevel="0" collapsed="false">
      <c r="A818" s="12"/>
      <c r="B818" s="13"/>
      <c r="C818" s="13"/>
      <c r="D818" s="13"/>
      <c r="E818" s="7" t="str">
        <f aca="false">IF(D818="","",IFERROR(INDEX(Materiali!$B:$B,MATCH(D818,Materiali!$A:$A,0)),"codice?"))</f>
        <v/>
      </c>
      <c r="F818" s="13"/>
      <c r="G818" s="13"/>
      <c r="H818" s="9" t="str">
        <f aca="false">IF(D818="","",IFERROR(INDEX(Materiali!$C:$C,MATCH(D818,Materiali!$A:$A,0)),0))</f>
        <v/>
      </c>
      <c r="I818" s="9" t="str">
        <f aca="false">IF(OR(G818="",H818=""),"",IF(F818="Uscita",-1,1)*G818*H818)</f>
        <v/>
      </c>
      <c r="J818" s="13"/>
      <c r="K818" s="13"/>
    </row>
    <row r="819" customFormat="false" ht="15" hidden="false" customHeight="false" outlineLevel="0" collapsed="false">
      <c r="A819" s="12"/>
      <c r="B819" s="13"/>
      <c r="C819" s="13"/>
      <c r="D819" s="13"/>
      <c r="E819" s="7" t="str">
        <f aca="false">IF(D819="","",IFERROR(INDEX(Materiali!$B:$B,MATCH(D819,Materiali!$A:$A,0)),"codice?"))</f>
        <v/>
      </c>
      <c r="F819" s="13"/>
      <c r="G819" s="13"/>
      <c r="H819" s="9" t="str">
        <f aca="false">IF(D819="","",IFERROR(INDEX(Materiali!$C:$C,MATCH(D819,Materiali!$A:$A,0)),0))</f>
        <v/>
      </c>
      <c r="I819" s="9" t="str">
        <f aca="false">IF(OR(G819="",H819=""),"",IF(F819="Uscita",-1,1)*G819*H819)</f>
        <v/>
      </c>
      <c r="J819" s="13"/>
      <c r="K819" s="13"/>
    </row>
    <row r="820" customFormat="false" ht="15" hidden="false" customHeight="false" outlineLevel="0" collapsed="false">
      <c r="A820" s="12"/>
      <c r="B820" s="13"/>
      <c r="C820" s="13"/>
      <c r="D820" s="13"/>
      <c r="E820" s="7" t="str">
        <f aca="false">IF(D820="","",IFERROR(INDEX(Materiali!$B:$B,MATCH(D820,Materiali!$A:$A,0)),"codice?"))</f>
        <v/>
      </c>
      <c r="F820" s="13"/>
      <c r="G820" s="13"/>
      <c r="H820" s="9" t="str">
        <f aca="false">IF(D820="","",IFERROR(INDEX(Materiali!$C:$C,MATCH(D820,Materiali!$A:$A,0)),0))</f>
        <v/>
      </c>
      <c r="I820" s="9" t="str">
        <f aca="false">IF(OR(G820="",H820=""),"",IF(F820="Uscita",-1,1)*G820*H820)</f>
        <v/>
      </c>
      <c r="J820" s="13"/>
      <c r="K820" s="13"/>
    </row>
    <row r="821" customFormat="false" ht="15" hidden="false" customHeight="false" outlineLevel="0" collapsed="false">
      <c r="A821" s="12"/>
      <c r="B821" s="13"/>
      <c r="C821" s="13"/>
      <c r="D821" s="13"/>
      <c r="E821" s="7" t="str">
        <f aca="false">IF(D821="","",IFERROR(INDEX(Materiali!$B:$B,MATCH(D821,Materiali!$A:$A,0)),"codice?"))</f>
        <v/>
      </c>
      <c r="F821" s="13"/>
      <c r="G821" s="13"/>
      <c r="H821" s="9" t="str">
        <f aca="false">IF(D821="","",IFERROR(INDEX(Materiali!$C:$C,MATCH(D821,Materiali!$A:$A,0)),0))</f>
        <v/>
      </c>
      <c r="I821" s="9" t="str">
        <f aca="false">IF(OR(G821="",H821=""),"",IF(F821="Uscita",-1,1)*G821*H821)</f>
        <v/>
      </c>
      <c r="J821" s="13"/>
      <c r="K821" s="13"/>
    </row>
    <row r="822" customFormat="false" ht="15" hidden="false" customHeight="false" outlineLevel="0" collapsed="false">
      <c r="A822" s="12"/>
      <c r="B822" s="13"/>
      <c r="C822" s="13"/>
      <c r="D822" s="13"/>
      <c r="E822" s="7" t="str">
        <f aca="false">IF(D822="","",IFERROR(INDEX(Materiali!$B:$B,MATCH(D822,Materiali!$A:$A,0)),"codice?"))</f>
        <v/>
      </c>
      <c r="F822" s="13"/>
      <c r="G822" s="13"/>
      <c r="H822" s="9" t="str">
        <f aca="false">IF(D822="","",IFERROR(INDEX(Materiali!$C:$C,MATCH(D822,Materiali!$A:$A,0)),0))</f>
        <v/>
      </c>
      <c r="I822" s="9" t="str">
        <f aca="false">IF(OR(G822="",H822=""),"",IF(F822="Uscita",-1,1)*G822*H822)</f>
        <v/>
      </c>
      <c r="J822" s="13"/>
      <c r="K822" s="13"/>
    </row>
    <row r="823" customFormat="false" ht="15" hidden="false" customHeight="false" outlineLevel="0" collapsed="false">
      <c r="A823" s="12"/>
      <c r="B823" s="13"/>
      <c r="C823" s="13"/>
      <c r="D823" s="13"/>
      <c r="E823" s="7" t="str">
        <f aca="false">IF(D823="","",IFERROR(INDEX(Materiali!$B:$B,MATCH(D823,Materiali!$A:$A,0)),"codice?"))</f>
        <v/>
      </c>
      <c r="F823" s="13"/>
      <c r="G823" s="13"/>
      <c r="H823" s="9" t="str">
        <f aca="false">IF(D823="","",IFERROR(INDEX(Materiali!$C:$C,MATCH(D823,Materiali!$A:$A,0)),0))</f>
        <v/>
      </c>
      <c r="I823" s="9" t="str">
        <f aca="false">IF(OR(G823="",H823=""),"",IF(F823="Uscita",-1,1)*G823*H823)</f>
        <v/>
      </c>
      <c r="J823" s="13"/>
      <c r="K823" s="13"/>
    </row>
    <row r="824" customFormat="false" ht="15" hidden="false" customHeight="false" outlineLevel="0" collapsed="false">
      <c r="A824" s="12"/>
      <c r="B824" s="13"/>
      <c r="C824" s="13"/>
      <c r="D824" s="13"/>
      <c r="E824" s="7" t="str">
        <f aca="false">IF(D824="","",IFERROR(INDEX(Materiali!$B:$B,MATCH(D824,Materiali!$A:$A,0)),"codice?"))</f>
        <v/>
      </c>
      <c r="F824" s="13"/>
      <c r="G824" s="13"/>
      <c r="H824" s="9" t="str">
        <f aca="false">IF(D824="","",IFERROR(INDEX(Materiali!$C:$C,MATCH(D824,Materiali!$A:$A,0)),0))</f>
        <v/>
      </c>
      <c r="I824" s="9" t="str">
        <f aca="false">IF(OR(G824="",H824=""),"",IF(F824="Uscita",-1,1)*G824*H824)</f>
        <v/>
      </c>
      <c r="J824" s="13"/>
      <c r="K824" s="13"/>
    </row>
    <row r="825" customFormat="false" ht="15" hidden="false" customHeight="false" outlineLevel="0" collapsed="false">
      <c r="A825" s="12"/>
      <c r="B825" s="13"/>
      <c r="C825" s="13"/>
      <c r="D825" s="13"/>
      <c r="E825" s="7" t="str">
        <f aca="false">IF(D825="","",IFERROR(INDEX(Materiali!$B:$B,MATCH(D825,Materiali!$A:$A,0)),"codice?"))</f>
        <v/>
      </c>
      <c r="F825" s="13"/>
      <c r="G825" s="13"/>
      <c r="H825" s="9" t="str">
        <f aca="false">IF(D825="","",IFERROR(INDEX(Materiali!$C:$C,MATCH(D825,Materiali!$A:$A,0)),0))</f>
        <v/>
      </c>
      <c r="I825" s="9" t="str">
        <f aca="false">IF(OR(G825="",H825=""),"",IF(F825="Uscita",-1,1)*G825*H825)</f>
        <v/>
      </c>
      <c r="J825" s="13"/>
      <c r="K825" s="13"/>
    </row>
    <row r="826" customFormat="false" ht="15" hidden="false" customHeight="false" outlineLevel="0" collapsed="false">
      <c r="A826" s="12"/>
      <c r="B826" s="13"/>
      <c r="C826" s="13"/>
      <c r="D826" s="13"/>
      <c r="E826" s="7" t="str">
        <f aca="false">IF(D826="","",IFERROR(INDEX(Materiali!$B:$B,MATCH(D826,Materiali!$A:$A,0)),"codice?"))</f>
        <v/>
      </c>
      <c r="F826" s="13"/>
      <c r="G826" s="13"/>
      <c r="H826" s="9" t="str">
        <f aca="false">IF(D826="","",IFERROR(INDEX(Materiali!$C:$C,MATCH(D826,Materiali!$A:$A,0)),0))</f>
        <v/>
      </c>
      <c r="I826" s="9" t="str">
        <f aca="false">IF(OR(G826="",H826=""),"",IF(F826="Uscita",-1,1)*G826*H826)</f>
        <v/>
      </c>
      <c r="J826" s="13"/>
      <c r="K826" s="13"/>
    </row>
    <row r="827" customFormat="false" ht="15" hidden="false" customHeight="false" outlineLevel="0" collapsed="false">
      <c r="A827" s="12"/>
      <c r="B827" s="13"/>
      <c r="C827" s="13"/>
      <c r="D827" s="13"/>
      <c r="E827" s="7" t="str">
        <f aca="false">IF(D827="","",IFERROR(INDEX(Materiali!$B:$B,MATCH(D827,Materiali!$A:$A,0)),"codice?"))</f>
        <v/>
      </c>
      <c r="F827" s="13"/>
      <c r="G827" s="13"/>
      <c r="H827" s="9" t="str">
        <f aca="false">IF(D827="","",IFERROR(INDEX(Materiali!$C:$C,MATCH(D827,Materiali!$A:$A,0)),0))</f>
        <v/>
      </c>
      <c r="I827" s="9" t="str">
        <f aca="false">IF(OR(G827="",H827=""),"",IF(F827="Uscita",-1,1)*G827*H827)</f>
        <v/>
      </c>
      <c r="J827" s="13"/>
      <c r="K827" s="13"/>
    </row>
    <row r="828" customFormat="false" ht="15" hidden="false" customHeight="false" outlineLevel="0" collapsed="false">
      <c r="A828" s="12"/>
      <c r="B828" s="13"/>
      <c r="C828" s="13"/>
      <c r="D828" s="13"/>
      <c r="E828" s="7" t="str">
        <f aca="false">IF(D828="","",IFERROR(INDEX(Materiali!$B:$B,MATCH(D828,Materiali!$A:$A,0)),"codice?"))</f>
        <v/>
      </c>
      <c r="F828" s="13"/>
      <c r="G828" s="13"/>
      <c r="H828" s="9" t="str">
        <f aca="false">IF(D828="","",IFERROR(INDEX(Materiali!$C:$C,MATCH(D828,Materiali!$A:$A,0)),0))</f>
        <v/>
      </c>
      <c r="I828" s="9" t="str">
        <f aca="false">IF(OR(G828="",H828=""),"",IF(F828="Uscita",-1,1)*G828*H828)</f>
        <v/>
      </c>
      <c r="J828" s="13"/>
      <c r="K828" s="13"/>
    </row>
    <row r="829" customFormat="false" ht="15" hidden="false" customHeight="false" outlineLevel="0" collapsed="false">
      <c r="A829" s="12"/>
      <c r="B829" s="13"/>
      <c r="C829" s="13"/>
      <c r="D829" s="13"/>
      <c r="E829" s="7" t="str">
        <f aca="false">IF(D829="","",IFERROR(INDEX(Materiali!$B:$B,MATCH(D829,Materiali!$A:$A,0)),"codice?"))</f>
        <v/>
      </c>
      <c r="F829" s="13"/>
      <c r="G829" s="13"/>
      <c r="H829" s="9" t="str">
        <f aca="false">IF(D829="","",IFERROR(INDEX(Materiali!$C:$C,MATCH(D829,Materiali!$A:$A,0)),0))</f>
        <v/>
      </c>
      <c r="I829" s="9" t="str">
        <f aca="false">IF(OR(G829="",H829=""),"",IF(F829="Uscita",-1,1)*G829*H829)</f>
        <v/>
      </c>
      <c r="J829" s="13"/>
      <c r="K829" s="13"/>
    </row>
    <row r="830" customFormat="false" ht="15" hidden="false" customHeight="false" outlineLevel="0" collapsed="false">
      <c r="A830" s="12"/>
      <c r="B830" s="13"/>
      <c r="C830" s="13"/>
      <c r="D830" s="13"/>
      <c r="E830" s="7" t="str">
        <f aca="false">IF(D830="","",IFERROR(INDEX(Materiali!$B:$B,MATCH(D830,Materiali!$A:$A,0)),"codice?"))</f>
        <v/>
      </c>
      <c r="F830" s="13"/>
      <c r="G830" s="13"/>
      <c r="H830" s="9" t="str">
        <f aca="false">IF(D830="","",IFERROR(INDEX(Materiali!$C:$C,MATCH(D830,Materiali!$A:$A,0)),0))</f>
        <v/>
      </c>
      <c r="I830" s="9" t="str">
        <f aca="false">IF(OR(G830="",H830=""),"",IF(F830="Uscita",-1,1)*G830*H830)</f>
        <v/>
      </c>
      <c r="J830" s="13"/>
      <c r="K830" s="13"/>
    </row>
    <row r="831" customFormat="false" ht="15" hidden="false" customHeight="false" outlineLevel="0" collapsed="false">
      <c r="A831" s="12"/>
      <c r="B831" s="13"/>
      <c r="C831" s="13"/>
      <c r="D831" s="13"/>
      <c r="E831" s="7" t="str">
        <f aca="false">IF(D831="","",IFERROR(INDEX(Materiali!$B:$B,MATCH(D831,Materiali!$A:$A,0)),"codice?"))</f>
        <v/>
      </c>
      <c r="F831" s="13"/>
      <c r="G831" s="13"/>
      <c r="H831" s="9" t="str">
        <f aca="false">IF(D831="","",IFERROR(INDEX(Materiali!$C:$C,MATCH(D831,Materiali!$A:$A,0)),0))</f>
        <v/>
      </c>
      <c r="I831" s="9" t="str">
        <f aca="false">IF(OR(G831="",H831=""),"",IF(F831="Uscita",-1,1)*G831*H831)</f>
        <v/>
      </c>
      <c r="J831" s="13"/>
      <c r="K831" s="13"/>
    </row>
    <row r="832" customFormat="false" ht="15" hidden="false" customHeight="false" outlineLevel="0" collapsed="false">
      <c r="A832" s="12"/>
      <c r="B832" s="13"/>
      <c r="C832" s="13"/>
      <c r="D832" s="13"/>
      <c r="E832" s="7" t="str">
        <f aca="false">IF(D832="","",IFERROR(INDEX(Materiali!$B:$B,MATCH(D832,Materiali!$A:$A,0)),"codice?"))</f>
        <v/>
      </c>
      <c r="F832" s="13"/>
      <c r="G832" s="13"/>
      <c r="H832" s="9" t="str">
        <f aca="false">IF(D832="","",IFERROR(INDEX(Materiali!$C:$C,MATCH(D832,Materiali!$A:$A,0)),0))</f>
        <v/>
      </c>
      <c r="I832" s="9" t="str">
        <f aca="false">IF(OR(G832="",H832=""),"",IF(F832="Uscita",-1,1)*G832*H832)</f>
        <v/>
      </c>
      <c r="J832" s="13"/>
      <c r="K832" s="13"/>
    </row>
    <row r="833" customFormat="false" ht="15" hidden="false" customHeight="false" outlineLevel="0" collapsed="false">
      <c r="A833" s="12"/>
      <c r="B833" s="13"/>
      <c r="C833" s="13"/>
      <c r="D833" s="13"/>
      <c r="E833" s="7" t="str">
        <f aca="false">IF(D833="","",IFERROR(INDEX(Materiali!$B:$B,MATCH(D833,Materiali!$A:$A,0)),"codice?"))</f>
        <v/>
      </c>
      <c r="F833" s="13"/>
      <c r="G833" s="13"/>
      <c r="H833" s="9" t="str">
        <f aca="false">IF(D833="","",IFERROR(INDEX(Materiali!$C:$C,MATCH(D833,Materiali!$A:$A,0)),0))</f>
        <v/>
      </c>
      <c r="I833" s="9" t="str">
        <f aca="false">IF(OR(G833="",H833=""),"",IF(F833="Uscita",-1,1)*G833*H833)</f>
        <v/>
      </c>
      <c r="J833" s="13"/>
      <c r="K833" s="13"/>
    </row>
    <row r="834" customFormat="false" ht="15" hidden="false" customHeight="false" outlineLevel="0" collapsed="false">
      <c r="A834" s="12"/>
      <c r="B834" s="13"/>
      <c r="C834" s="13"/>
      <c r="D834" s="13"/>
      <c r="E834" s="7" t="str">
        <f aca="false">IF(D834="","",IFERROR(INDEX(Materiali!$B:$B,MATCH(D834,Materiali!$A:$A,0)),"codice?"))</f>
        <v/>
      </c>
      <c r="F834" s="13"/>
      <c r="G834" s="13"/>
      <c r="H834" s="9" t="str">
        <f aca="false">IF(D834="","",IFERROR(INDEX(Materiali!$C:$C,MATCH(D834,Materiali!$A:$A,0)),0))</f>
        <v/>
      </c>
      <c r="I834" s="9" t="str">
        <f aca="false">IF(OR(G834="",H834=""),"",IF(F834="Uscita",-1,1)*G834*H834)</f>
        <v/>
      </c>
      <c r="J834" s="13"/>
      <c r="K834" s="13"/>
    </row>
    <row r="835" customFormat="false" ht="15" hidden="false" customHeight="false" outlineLevel="0" collapsed="false">
      <c r="A835" s="12"/>
      <c r="B835" s="13"/>
      <c r="C835" s="13"/>
      <c r="D835" s="13"/>
      <c r="E835" s="7" t="str">
        <f aca="false">IF(D835="","",IFERROR(INDEX(Materiali!$B:$B,MATCH(D835,Materiali!$A:$A,0)),"codice?"))</f>
        <v/>
      </c>
      <c r="F835" s="13"/>
      <c r="G835" s="13"/>
      <c r="H835" s="9" t="str">
        <f aca="false">IF(D835="","",IFERROR(INDEX(Materiali!$C:$C,MATCH(D835,Materiali!$A:$A,0)),0))</f>
        <v/>
      </c>
      <c r="I835" s="9" t="str">
        <f aca="false">IF(OR(G835="",H835=""),"",IF(F835="Uscita",-1,1)*G835*H835)</f>
        <v/>
      </c>
      <c r="J835" s="13"/>
      <c r="K835" s="13"/>
    </row>
    <row r="836" customFormat="false" ht="15" hidden="false" customHeight="false" outlineLevel="0" collapsed="false">
      <c r="A836" s="12"/>
      <c r="B836" s="13"/>
      <c r="C836" s="13"/>
      <c r="D836" s="13"/>
      <c r="E836" s="7" t="str">
        <f aca="false">IF(D836="","",IFERROR(INDEX(Materiali!$B:$B,MATCH(D836,Materiali!$A:$A,0)),"codice?"))</f>
        <v/>
      </c>
      <c r="F836" s="13"/>
      <c r="G836" s="13"/>
      <c r="H836" s="9" t="str">
        <f aca="false">IF(D836="","",IFERROR(INDEX(Materiali!$C:$C,MATCH(D836,Materiali!$A:$A,0)),0))</f>
        <v/>
      </c>
      <c r="I836" s="9" t="str">
        <f aca="false">IF(OR(G836="",H836=""),"",IF(F836="Uscita",-1,1)*G836*H836)</f>
        <v/>
      </c>
      <c r="J836" s="13"/>
      <c r="K836" s="13"/>
    </row>
    <row r="837" customFormat="false" ht="15" hidden="false" customHeight="false" outlineLevel="0" collapsed="false">
      <c r="A837" s="12"/>
      <c r="B837" s="13"/>
      <c r="C837" s="13"/>
      <c r="D837" s="13"/>
      <c r="E837" s="7" t="str">
        <f aca="false">IF(D837="","",IFERROR(INDEX(Materiali!$B:$B,MATCH(D837,Materiali!$A:$A,0)),"codice?"))</f>
        <v/>
      </c>
      <c r="F837" s="13"/>
      <c r="G837" s="13"/>
      <c r="H837" s="9" t="str">
        <f aca="false">IF(D837="","",IFERROR(INDEX(Materiali!$C:$C,MATCH(D837,Materiali!$A:$A,0)),0))</f>
        <v/>
      </c>
      <c r="I837" s="9" t="str">
        <f aca="false">IF(OR(G837="",H837=""),"",IF(F837="Uscita",-1,1)*G837*H837)</f>
        <v/>
      </c>
      <c r="J837" s="13"/>
      <c r="K837" s="13"/>
    </row>
    <row r="838" customFormat="false" ht="15" hidden="false" customHeight="false" outlineLevel="0" collapsed="false">
      <c r="A838" s="12"/>
      <c r="B838" s="13"/>
      <c r="C838" s="13"/>
      <c r="D838" s="13"/>
      <c r="E838" s="7" t="str">
        <f aca="false">IF(D838="","",IFERROR(INDEX(Materiali!$B:$B,MATCH(D838,Materiali!$A:$A,0)),"codice?"))</f>
        <v/>
      </c>
      <c r="F838" s="13"/>
      <c r="G838" s="13"/>
      <c r="H838" s="9" t="str">
        <f aca="false">IF(D838="","",IFERROR(INDEX(Materiali!$C:$C,MATCH(D838,Materiali!$A:$A,0)),0))</f>
        <v/>
      </c>
      <c r="I838" s="9" t="str">
        <f aca="false">IF(OR(G838="",H838=""),"",IF(F838="Uscita",-1,1)*G838*H838)</f>
        <v/>
      </c>
      <c r="J838" s="13"/>
      <c r="K838" s="13"/>
    </row>
    <row r="839" customFormat="false" ht="15" hidden="false" customHeight="false" outlineLevel="0" collapsed="false">
      <c r="A839" s="12"/>
      <c r="B839" s="13"/>
      <c r="C839" s="13"/>
      <c r="D839" s="13"/>
      <c r="E839" s="7" t="str">
        <f aca="false">IF(D839="","",IFERROR(INDEX(Materiali!$B:$B,MATCH(D839,Materiali!$A:$A,0)),"codice?"))</f>
        <v/>
      </c>
      <c r="F839" s="13"/>
      <c r="G839" s="13"/>
      <c r="H839" s="9" t="str">
        <f aca="false">IF(D839="","",IFERROR(INDEX(Materiali!$C:$C,MATCH(D839,Materiali!$A:$A,0)),0))</f>
        <v/>
      </c>
      <c r="I839" s="9" t="str">
        <f aca="false">IF(OR(G839="",H839=""),"",IF(F839="Uscita",-1,1)*G839*H839)</f>
        <v/>
      </c>
      <c r="J839" s="13"/>
      <c r="K839" s="13"/>
    </row>
    <row r="840" customFormat="false" ht="15" hidden="false" customHeight="false" outlineLevel="0" collapsed="false">
      <c r="A840" s="12"/>
      <c r="B840" s="13"/>
      <c r="C840" s="13"/>
      <c r="D840" s="13"/>
      <c r="E840" s="7" t="str">
        <f aca="false">IF(D840="","",IFERROR(INDEX(Materiali!$B:$B,MATCH(D840,Materiali!$A:$A,0)),"codice?"))</f>
        <v/>
      </c>
      <c r="F840" s="13"/>
      <c r="G840" s="13"/>
      <c r="H840" s="9" t="str">
        <f aca="false">IF(D840="","",IFERROR(INDEX(Materiali!$C:$C,MATCH(D840,Materiali!$A:$A,0)),0))</f>
        <v/>
      </c>
      <c r="I840" s="9" t="str">
        <f aca="false">IF(OR(G840="",H840=""),"",IF(F840="Uscita",-1,1)*G840*H840)</f>
        <v/>
      </c>
      <c r="J840" s="13"/>
      <c r="K840" s="13"/>
    </row>
    <row r="841" customFormat="false" ht="15" hidden="false" customHeight="false" outlineLevel="0" collapsed="false">
      <c r="A841" s="12"/>
      <c r="B841" s="13"/>
      <c r="C841" s="13"/>
      <c r="D841" s="13"/>
      <c r="E841" s="7" t="str">
        <f aca="false">IF(D841="","",IFERROR(INDEX(Materiali!$B:$B,MATCH(D841,Materiali!$A:$A,0)),"codice?"))</f>
        <v/>
      </c>
      <c r="F841" s="13"/>
      <c r="G841" s="13"/>
      <c r="H841" s="9" t="str">
        <f aca="false">IF(D841="","",IFERROR(INDEX(Materiali!$C:$C,MATCH(D841,Materiali!$A:$A,0)),0))</f>
        <v/>
      </c>
      <c r="I841" s="9" t="str">
        <f aca="false">IF(OR(G841="",H841=""),"",IF(F841="Uscita",-1,1)*G841*H841)</f>
        <v/>
      </c>
      <c r="J841" s="13"/>
      <c r="K841" s="13"/>
    </row>
    <row r="842" customFormat="false" ht="15" hidden="false" customHeight="false" outlineLevel="0" collapsed="false">
      <c r="A842" s="12"/>
      <c r="B842" s="13"/>
      <c r="C842" s="13"/>
      <c r="D842" s="13"/>
      <c r="E842" s="7" t="str">
        <f aca="false">IF(D842="","",IFERROR(INDEX(Materiali!$B:$B,MATCH(D842,Materiali!$A:$A,0)),"codice?"))</f>
        <v/>
      </c>
      <c r="F842" s="13"/>
      <c r="G842" s="13"/>
      <c r="H842" s="9" t="str">
        <f aca="false">IF(D842="","",IFERROR(INDEX(Materiali!$C:$C,MATCH(D842,Materiali!$A:$A,0)),0))</f>
        <v/>
      </c>
      <c r="I842" s="9" t="str">
        <f aca="false">IF(OR(G842="",H842=""),"",IF(F842="Uscita",-1,1)*G842*H842)</f>
        <v/>
      </c>
      <c r="J842" s="13"/>
      <c r="K842" s="13"/>
    </row>
    <row r="843" customFormat="false" ht="15" hidden="false" customHeight="false" outlineLevel="0" collapsed="false">
      <c r="A843" s="12"/>
      <c r="B843" s="13"/>
      <c r="C843" s="13"/>
      <c r="D843" s="13"/>
      <c r="E843" s="7" t="str">
        <f aca="false">IF(D843="","",IFERROR(INDEX(Materiali!$B:$B,MATCH(D843,Materiali!$A:$A,0)),"codice?"))</f>
        <v/>
      </c>
      <c r="F843" s="13"/>
      <c r="G843" s="13"/>
      <c r="H843" s="9" t="str">
        <f aca="false">IF(D843="","",IFERROR(INDEX(Materiali!$C:$C,MATCH(D843,Materiali!$A:$A,0)),0))</f>
        <v/>
      </c>
      <c r="I843" s="9" t="str">
        <f aca="false">IF(OR(G843="",H843=""),"",IF(F843="Uscita",-1,1)*G843*H843)</f>
        <v/>
      </c>
      <c r="J843" s="13"/>
      <c r="K843" s="13"/>
    </row>
    <row r="844" customFormat="false" ht="15" hidden="false" customHeight="false" outlineLevel="0" collapsed="false">
      <c r="A844" s="12"/>
      <c r="B844" s="13"/>
      <c r="C844" s="13"/>
      <c r="D844" s="13"/>
      <c r="E844" s="7" t="str">
        <f aca="false">IF(D844="","",IFERROR(INDEX(Materiali!$B:$B,MATCH(D844,Materiali!$A:$A,0)),"codice?"))</f>
        <v/>
      </c>
      <c r="F844" s="13"/>
      <c r="G844" s="13"/>
      <c r="H844" s="9" t="str">
        <f aca="false">IF(D844="","",IFERROR(INDEX(Materiali!$C:$C,MATCH(D844,Materiali!$A:$A,0)),0))</f>
        <v/>
      </c>
      <c r="I844" s="9" t="str">
        <f aca="false">IF(OR(G844="",H844=""),"",IF(F844="Uscita",-1,1)*G844*H844)</f>
        <v/>
      </c>
      <c r="J844" s="13"/>
      <c r="K844" s="13"/>
    </row>
    <row r="845" customFormat="false" ht="15" hidden="false" customHeight="false" outlineLevel="0" collapsed="false">
      <c r="A845" s="12"/>
      <c r="B845" s="13"/>
      <c r="C845" s="13"/>
      <c r="D845" s="13"/>
      <c r="E845" s="7" t="str">
        <f aca="false">IF(D845="","",IFERROR(INDEX(Materiali!$B:$B,MATCH(D845,Materiali!$A:$A,0)),"codice?"))</f>
        <v/>
      </c>
      <c r="F845" s="13"/>
      <c r="G845" s="13"/>
      <c r="H845" s="9" t="str">
        <f aca="false">IF(D845="","",IFERROR(INDEX(Materiali!$C:$C,MATCH(D845,Materiali!$A:$A,0)),0))</f>
        <v/>
      </c>
      <c r="I845" s="9" t="str">
        <f aca="false">IF(OR(G845="",H845=""),"",IF(F845="Uscita",-1,1)*G845*H845)</f>
        <v/>
      </c>
      <c r="J845" s="13"/>
      <c r="K845" s="13"/>
    </row>
    <row r="846" customFormat="false" ht="15" hidden="false" customHeight="false" outlineLevel="0" collapsed="false">
      <c r="A846" s="12"/>
      <c r="B846" s="13"/>
      <c r="C846" s="13"/>
      <c r="D846" s="13"/>
      <c r="E846" s="7" t="str">
        <f aca="false">IF(D846="","",IFERROR(INDEX(Materiali!$B:$B,MATCH(D846,Materiali!$A:$A,0)),"codice?"))</f>
        <v/>
      </c>
      <c r="F846" s="13"/>
      <c r="G846" s="13"/>
      <c r="H846" s="9" t="str">
        <f aca="false">IF(D846="","",IFERROR(INDEX(Materiali!$C:$C,MATCH(D846,Materiali!$A:$A,0)),0))</f>
        <v/>
      </c>
      <c r="I846" s="9" t="str">
        <f aca="false">IF(OR(G846="",H846=""),"",IF(F846="Uscita",-1,1)*G846*H846)</f>
        <v/>
      </c>
      <c r="J846" s="13"/>
      <c r="K846" s="13"/>
    </row>
    <row r="847" customFormat="false" ht="15" hidden="false" customHeight="false" outlineLevel="0" collapsed="false">
      <c r="A847" s="12"/>
      <c r="B847" s="13"/>
      <c r="C847" s="13"/>
      <c r="D847" s="13"/>
      <c r="E847" s="7" t="str">
        <f aca="false">IF(D847="","",IFERROR(INDEX(Materiali!$B:$B,MATCH(D847,Materiali!$A:$A,0)),"codice?"))</f>
        <v/>
      </c>
      <c r="F847" s="13"/>
      <c r="G847" s="13"/>
      <c r="H847" s="9" t="str">
        <f aca="false">IF(D847="","",IFERROR(INDEX(Materiali!$C:$C,MATCH(D847,Materiali!$A:$A,0)),0))</f>
        <v/>
      </c>
      <c r="I847" s="9" t="str">
        <f aca="false">IF(OR(G847="",H847=""),"",IF(F847="Uscita",-1,1)*G847*H847)</f>
        <v/>
      </c>
      <c r="J847" s="13"/>
      <c r="K847" s="13"/>
    </row>
    <row r="848" customFormat="false" ht="15" hidden="false" customHeight="false" outlineLevel="0" collapsed="false">
      <c r="A848" s="12"/>
      <c r="B848" s="13"/>
      <c r="C848" s="13"/>
      <c r="D848" s="13"/>
      <c r="E848" s="7" t="str">
        <f aca="false">IF(D848="","",IFERROR(INDEX(Materiali!$B:$B,MATCH(D848,Materiali!$A:$A,0)),"codice?"))</f>
        <v/>
      </c>
      <c r="F848" s="13"/>
      <c r="G848" s="13"/>
      <c r="H848" s="9" t="str">
        <f aca="false">IF(D848="","",IFERROR(INDEX(Materiali!$C:$C,MATCH(D848,Materiali!$A:$A,0)),0))</f>
        <v/>
      </c>
      <c r="I848" s="9" t="str">
        <f aca="false">IF(OR(G848="",H848=""),"",IF(F848="Uscita",-1,1)*G848*H848)</f>
        <v/>
      </c>
      <c r="J848" s="13"/>
      <c r="K848" s="13"/>
    </row>
    <row r="849" customFormat="false" ht="15" hidden="false" customHeight="false" outlineLevel="0" collapsed="false">
      <c r="A849" s="12"/>
      <c r="B849" s="13"/>
      <c r="C849" s="13"/>
      <c r="D849" s="13"/>
      <c r="E849" s="7" t="str">
        <f aca="false">IF(D849="","",IFERROR(INDEX(Materiali!$B:$B,MATCH(D849,Materiali!$A:$A,0)),"codice?"))</f>
        <v/>
      </c>
      <c r="F849" s="13"/>
      <c r="G849" s="13"/>
      <c r="H849" s="9" t="str">
        <f aca="false">IF(D849="","",IFERROR(INDEX(Materiali!$C:$C,MATCH(D849,Materiali!$A:$A,0)),0))</f>
        <v/>
      </c>
      <c r="I849" s="9" t="str">
        <f aca="false">IF(OR(G849="",H849=""),"",IF(F849="Uscita",-1,1)*G849*H849)</f>
        <v/>
      </c>
      <c r="J849" s="13"/>
      <c r="K849" s="13"/>
    </row>
    <row r="850" customFormat="false" ht="15" hidden="false" customHeight="false" outlineLevel="0" collapsed="false">
      <c r="A850" s="12"/>
      <c r="B850" s="13"/>
      <c r="C850" s="13"/>
      <c r="D850" s="13"/>
      <c r="E850" s="7" t="str">
        <f aca="false">IF(D850="","",IFERROR(INDEX(Materiali!$B:$B,MATCH(D850,Materiali!$A:$A,0)),"codice?"))</f>
        <v/>
      </c>
      <c r="F850" s="13"/>
      <c r="G850" s="13"/>
      <c r="H850" s="9" t="str">
        <f aca="false">IF(D850="","",IFERROR(INDEX(Materiali!$C:$C,MATCH(D850,Materiali!$A:$A,0)),0))</f>
        <v/>
      </c>
      <c r="I850" s="9" t="str">
        <f aca="false">IF(OR(G850="",H850=""),"",IF(F850="Uscita",-1,1)*G850*H850)</f>
        <v/>
      </c>
      <c r="J850" s="13"/>
      <c r="K850" s="13"/>
    </row>
    <row r="851" customFormat="false" ht="15" hidden="false" customHeight="false" outlineLevel="0" collapsed="false">
      <c r="A851" s="12"/>
      <c r="B851" s="13"/>
      <c r="C851" s="13"/>
      <c r="D851" s="13"/>
      <c r="E851" s="7" t="str">
        <f aca="false">IF(D851="","",IFERROR(INDEX(Materiali!$B:$B,MATCH(D851,Materiali!$A:$A,0)),"codice?"))</f>
        <v/>
      </c>
      <c r="F851" s="13"/>
      <c r="G851" s="13"/>
      <c r="H851" s="9" t="str">
        <f aca="false">IF(D851="","",IFERROR(INDEX(Materiali!$C:$C,MATCH(D851,Materiali!$A:$A,0)),0))</f>
        <v/>
      </c>
      <c r="I851" s="9" t="str">
        <f aca="false">IF(OR(G851="",H851=""),"",IF(F851="Uscita",-1,1)*G851*H851)</f>
        <v/>
      </c>
      <c r="J851" s="13"/>
      <c r="K851" s="13"/>
    </row>
    <row r="852" customFormat="false" ht="15" hidden="false" customHeight="false" outlineLevel="0" collapsed="false">
      <c r="A852" s="12"/>
      <c r="B852" s="13"/>
      <c r="C852" s="13"/>
      <c r="D852" s="13"/>
      <c r="E852" s="7" t="str">
        <f aca="false">IF(D852="","",IFERROR(INDEX(Materiali!$B:$B,MATCH(D852,Materiali!$A:$A,0)),"codice?"))</f>
        <v/>
      </c>
      <c r="F852" s="13"/>
      <c r="G852" s="13"/>
      <c r="H852" s="9" t="str">
        <f aca="false">IF(D852="","",IFERROR(INDEX(Materiali!$C:$C,MATCH(D852,Materiali!$A:$A,0)),0))</f>
        <v/>
      </c>
      <c r="I852" s="9" t="str">
        <f aca="false">IF(OR(G852="",H852=""),"",IF(F852="Uscita",-1,1)*G852*H852)</f>
        <v/>
      </c>
      <c r="J852" s="13"/>
      <c r="K852" s="13"/>
    </row>
    <row r="853" customFormat="false" ht="15" hidden="false" customHeight="false" outlineLevel="0" collapsed="false">
      <c r="A853" s="12"/>
      <c r="B853" s="13"/>
      <c r="C853" s="13"/>
      <c r="D853" s="13"/>
      <c r="E853" s="7" t="str">
        <f aca="false">IF(D853="","",IFERROR(INDEX(Materiali!$B:$B,MATCH(D853,Materiali!$A:$A,0)),"codice?"))</f>
        <v/>
      </c>
      <c r="F853" s="13"/>
      <c r="G853" s="13"/>
      <c r="H853" s="9" t="str">
        <f aca="false">IF(D853="","",IFERROR(INDEX(Materiali!$C:$C,MATCH(D853,Materiali!$A:$A,0)),0))</f>
        <v/>
      </c>
      <c r="I853" s="9" t="str">
        <f aca="false">IF(OR(G853="",H853=""),"",IF(F853="Uscita",-1,1)*G853*H853)</f>
        <v/>
      </c>
      <c r="J853" s="13"/>
      <c r="K853" s="13"/>
    </row>
    <row r="854" customFormat="false" ht="15" hidden="false" customHeight="false" outlineLevel="0" collapsed="false">
      <c r="A854" s="12"/>
      <c r="B854" s="13"/>
      <c r="C854" s="13"/>
      <c r="D854" s="13"/>
      <c r="E854" s="7" t="str">
        <f aca="false">IF(D854="","",IFERROR(INDEX(Materiali!$B:$B,MATCH(D854,Materiali!$A:$A,0)),"codice?"))</f>
        <v/>
      </c>
      <c r="F854" s="13"/>
      <c r="G854" s="13"/>
      <c r="H854" s="9" t="str">
        <f aca="false">IF(D854="","",IFERROR(INDEX(Materiali!$C:$C,MATCH(D854,Materiali!$A:$A,0)),0))</f>
        <v/>
      </c>
      <c r="I854" s="9" t="str">
        <f aca="false">IF(OR(G854="",H854=""),"",IF(F854="Uscita",-1,1)*G854*H854)</f>
        <v/>
      </c>
      <c r="J854" s="13"/>
      <c r="K854" s="13"/>
    </row>
    <row r="855" customFormat="false" ht="15" hidden="false" customHeight="false" outlineLevel="0" collapsed="false">
      <c r="A855" s="12"/>
      <c r="B855" s="13"/>
      <c r="C855" s="13"/>
      <c r="D855" s="13"/>
      <c r="E855" s="7" t="str">
        <f aca="false">IF(D855="","",IFERROR(INDEX(Materiali!$B:$B,MATCH(D855,Materiali!$A:$A,0)),"codice?"))</f>
        <v/>
      </c>
      <c r="F855" s="13"/>
      <c r="G855" s="13"/>
      <c r="H855" s="9" t="str">
        <f aca="false">IF(D855="","",IFERROR(INDEX(Materiali!$C:$C,MATCH(D855,Materiali!$A:$A,0)),0))</f>
        <v/>
      </c>
      <c r="I855" s="9" t="str">
        <f aca="false">IF(OR(G855="",H855=""),"",IF(F855="Uscita",-1,1)*G855*H855)</f>
        <v/>
      </c>
      <c r="J855" s="13"/>
      <c r="K855" s="13"/>
    </row>
    <row r="856" customFormat="false" ht="15" hidden="false" customHeight="false" outlineLevel="0" collapsed="false">
      <c r="A856" s="12"/>
      <c r="B856" s="13"/>
      <c r="C856" s="13"/>
      <c r="D856" s="13"/>
      <c r="E856" s="7" t="str">
        <f aca="false">IF(D856="","",IFERROR(INDEX(Materiali!$B:$B,MATCH(D856,Materiali!$A:$A,0)),"codice?"))</f>
        <v/>
      </c>
      <c r="F856" s="13"/>
      <c r="G856" s="13"/>
      <c r="H856" s="9" t="str">
        <f aca="false">IF(D856="","",IFERROR(INDEX(Materiali!$C:$C,MATCH(D856,Materiali!$A:$A,0)),0))</f>
        <v/>
      </c>
      <c r="I856" s="9" t="str">
        <f aca="false">IF(OR(G856="",H856=""),"",IF(F856="Uscita",-1,1)*G856*H856)</f>
        <v/>
      </c>
      <c r="J856" s="13"/>
      <c r="K856" s="13"/>
    </row>
    <row r="857" customFormat="false" ht="15" hidden="false" customHeight="false" outlineLevel="0" collapsed="false">
      <c r="A857" s="12"/>
      <c r="B857" s="13"/>
      <c r="C857" s="13"/>
      <c r="D857" s="13"/>
      <c r="E857" s="7" t="str">
        <f aca="false">IF(D857="","",IFERROR(INDEX(Materiali!$B:$B,MATCH(D857,Materiali!$A:$A,0)),"codice?"))</f>
        <v/>
      </c>
      <c r="F857" s="13"/>
      <c r="G857" s="13"/>
      <c r="H857" s="9" t="str">
        <f aca="false">IF(D857="","",IFERROR(INDEX(Materiali!$C:$C,MATCH(D857,Materiali!$A:$A,0)),0))</f>
        <v/>
      </c>
      <c r="I857" s="9" t="str">
        <f aca="false">IF(OR(G857="",H857=""),"",IF(F857="Uscita",-1,1)*G857*H857)</f>
        <v/>
      </c>
      <c r="J857" s="13"/>
      <c r="K857" s="13"/>
    </row>
    <row r="858" customFormat="false" ht="15" hidden="false" customHeight="false" outlineLevel="0" collapsed="false">
      <c r="A858" s="12"/>
      <c r="B858" s="13"/>
      <c r="C858" s="13"/>
      <c r="D858" s="13"/>
      <c r="E858" s="7" t="str">
        <f aca="false">IF(D858="","",IFERROR(INDEX(Materiali!$B:$B,MATCH(D858,Materiali!$A:$A,0)),"codice?"))</f>
        <v/>
      </c>
      <c r="F858" s="13"/>
      <c r="G858" s="13"/>
      <c r="H858" s="9" t="str">
        <f aca="false">IF(D858="","",IFERROR(INDEX(Materiali!$C:$C,MATCH(D858,Materiali!$A:$A,0)),0))</f>
        <v/>
      </c>
      <c r="I858" s="9" t="str">
        <f aca="false">IF(OR(G858="",H858=""),"",IF(F858="Uscita",-1,1)*G858*H858)</f>
        <v/>
      </c>
      <c r="J858" s="13"/>
      <c r="K858" s="13"/>
    </row>
    <row r="859" customFormat="false" ht="15" hidden="false" customHeight="false" outlineLevel="0" collapsed="false">
      <c r="A859" s="12"/>
      <c r="B859" s="13"/>
      <c r="C859" s="13"/>
      <c r="D859" s="13"/>
      <c r="E859" s="7" t="str">
        <f aca="false">IF(D859="","",IFERROR(INDEX(Materiali!$B:$B,MATCH(D859,Materiali!$A:$A,0)),"codice?"))</f>
        <v/>
      </c>
      <c r="F859" s="13"/>
      <c r="G859" s="13"/>
      <c r="H859" s="9" t="str">
        <f aca="false">IF(D859="","",IFERROR(INDEX(Materiali!$C:$C,MATCH(D859,Materiali!$A:$A,0)),0))</f>
        <v/>
      </c>
      <c r="I859" s="9" t="str">
        <f aca="false">IF(OR(G859="",H859=""),"",IF(F859="Uscita",-1,1)*G859*H859)</f>
        <v/>
      </c>
      <c r="J859" s="13"/>
      <c r="K859" s="13"/>
    </row>
    <row r="860" customFormat="false" ht="15" hidden="false" customHeight="false" outlineLevel="0" collapsed="false">
      <c r="A860" s="12"/>
      <c r="B860" s="13"/>
      <c r="C860" s="13"/>
      <c r="D860" s="13"/>
      <c r="E860" s="7" t="str">
        <f aca="false">IF(D860="","",IFERROR(INDEX(Materiali!$B:$B,MATCH(D860,Materiali!$A:$A,0)),"codice?"))</f>
        <v/>
      </c>
      <c r="F860" s="13"/>
      <c r="G860" s="13"/>
      <c r="H860" s="9" t="str">
        <f aca="false">IF(D860="","",IFERROR(INDEX(Materiali!$C:$C,MATCH(D860,Materiali!$A:$A,0)),0))</f>
        <v/>
      </c>
      <c r="I860" s="9" t="str">
        <f aca="false">IF(OR(G860="",H860=""),"",IF(F860="Uscita",-1,1)*G860*H860)</f>
        <v/>
      </c>
      <c r="J860" s="13"/>
      <c r="K860" s="13"/>
    </row>
    <row r="861" customFormat="false" ht="15" hidden="false" customHeight="false" outlineLevel="0" collapsed="false">
      <c r="A861" s="12"/>
      <c r="B861" s="13"/>
      <c r="C861" s="13"/>
      <c r="D861" s="13"/>
      <c r="E861" s="7" t="str">
        <f aca="false">IF(D861="","",IFERROR(INDEX(Materiali!$B:$B,MATCH(D861,Materiali!$A:$A,0)),"codice?"))</f>
        <v/>
      </c>
      <c r="F861" s="13"/>
      <c r="G861" s="13"/>
      <c r="H861" s="9" t="str">
        <f aca="false">IF(D861="","",IFERROR(INDEX(Materiali!$C:$C,MATCH(D861,Materiali!$A:$A,0)),0))</f>
        <v/>
      </c>
      <c r="I861" s="9" t="str">
        <f aca="false">IF(OR(G861="",H861=""),"",IF(F861="Uscita",-1,1)*G861*H861)</f>
        <v/>
      </c>
      <c r="J861" s="13"/>
      <c r="K861" s="13"/>
    </row>
    <row r="862" customFormat="false" ht="15" hidden="false" customHeight="false" outlineLevel="0" collapsed="false">
      <c r="A862" s="12"/>
      <c r="B862" s="13"/>
      <c r="C862" s="13"/>
      <c r="D862" s="13"/>
      <c r="E862" s="7" t="str">
        <f aca="false">IF(D862="","",IFERROR(INDEX(Materiali!$B:$B,MATCH(D862,Materiali!$A:$A,0)),"codice?"))</f>
        <v/>
      </c>
      <c r="F862" s="13"/>
      <c r="G862" s="13"/>
      <c r="H862" s="9" t="str">
        <f aca="false">IF(D862="","",IFERROR(INDEX(Materiali!$C:$C,MATCH(D862,Materiali!$A:$A,0)),0))</f>
        <v/>
      </c>
      <c r="I862" s="9" t="str">
        <f aca="false">IF(OR(G862="",H862=""),"",IF(F862="Uscita",-1,1)*G862*H862)</f>
        <v/>
      </c>
      <c r="J862" s="13"/>
      <c r="K862" s="13"/>
    </row>
    <row r="863" customFormat="false" ht="15" hidden="false" customHeight="false" outlineLevel="0" collapsed="false">
      <c r="A863" s="12"/>
      <c r="B863" s="13"/>
      <c r="C863" s="13"/>
      <c r="D863" s="13"/>
      <c r="E863" s="7" t="str">
        <f aca="false">IF(D863="","",IFERROR(INDEX(Materiali!$B:$B,MATCH(D863,Materiali!$A:$A,0)),"codice?"))</f>
        <v/>
      </c>
      <c r="F863" s="13"/>
      <c r="G863" s="13"/>
      <c r="H863" s="9" t="str">
        <f aca="false">IF(D863="","",IFERROR(INDEX(Materiali!$C:$C,MATCH(D863,Materiali!$A:$A,0)),0))</f>
        <v/>
      </c>
      <c r="I863" s="9" t="str">
        <f aca="false">IF(OR(G863="",H863=""),"",IF(F863="Uscita",-1,1)*G863*H863)</f>
        <v/>
      </c>
      <c r="J863" s="13"/>
      <c r="K863" s="13"/>
    </row>
    <row r="864" customFormat="false" ht="15" hidden="false" customHeight="false" outlineLevel="0" collapsed="false">
      <c r="A864" s="12"/>
      <c r="B864" s="13"/>
      <c r="C864" s="13"/>
      <c r="D864" s="13"/>
      <c r="E864" s="7" t="str">
        <f aca="false">IF(D864="","",IFERROR(INDEX(Materiali!$B:$B,MATCH(D864,Materiali!$A:$A,0)),"codice?"))</f>
        <v/>
      </c>
      <c r="F864" s="13"/>
      <c r="G864" s="13"/>
      <c r="H864" s="9" t="str">
        <f aca="false">IF(D864="","",IFERROR(INDEX(Materiali!$C:$C,MATCH(D864,Materiali!$A:$A,0)),0))</f>
        <v/>
      </c>
      <c r="I864" s="9" t="str">
        <f aca="false">IF(OR(G864="",H864=""),"",IF(F864="Uscita",-1,1)*G864*H864)</f>
        <v/>
      </c>
      <c r="J864" s="13"/>
      <c r="K864" s="13"/>
    </row>
    <row r="865" customFormat="false" ht="15" hidden="false" customHeight="false" outlineLevel="0" collapsed="false">
      <c r="A865" s="12"/>
      <c r="B865" s="13"/>
      <c r="C865" s="13"/>
      <c r="D865" s="13"/>
      <c r="E865" s="7" t="str">
        <f aca="false">IF(D865="","",IFERROR(INDEX(Materiali!$B:$B,MATCH(D865,Materiali!$A:$A,0)),"codice?"))</f>
        <v/>
      </c>
      <c r="F865" s="13"/>
      <c r="G865" s="13"/>
      <c r="H865" s="9" t="str">
        <f aca="false">IF(D865="","",IFERROR(INDEX(Materiali!$C:$C,MATCH(D865,Materiali!$A:$A,0)),0))</f>
        <v/>
      </c>
      <c r="I865" s="9" t="str">
        <f aca="false">IF(OR(G865="",H865=""),"",IF(F865="Uscita",-1,1)*G865*H865)</f>
        <v/>
      </c>
      <c r="J865" s="13"/>
      <c r="K865" s="13"/>
    </row>
    <row r="866" customFormat="false" ht="15" hidden="false" customHeight="false" outlineLevel="0" collapsed="false">
      <c r="A866" s="12"/>
      <c r="B866" s="13"/>
      <c r="C866" s="13"/>
      <c r="D866" s="13"/>
      <c r="E866" s="7" t="str">
        <f aca="false">IF(D866="","",IFERROR(INDEX(Materiali!$B:$B,MATCH(D866,Materiali!$A:$A,0)),"codice?"))</f>
        <v/>
      </c>
      <c r="F866" s="13"/>
      <c r="G866" s="13"/>
      <c r="H866" s="9" t="str">
        <f aca="false">IF(D866="","",IFERROR(INDEX(Materiali!$C:$C,MATCH(D866,Materiali!$A:$A,0)),0))</f>
        <v/>
      </c>
      <c r="I866" s="9" t="str">
        <f aca="false">IF(OR(G866="",H866=""),"",IF(F866="Uscita",-1,1)*G866*H866)</f>
        <v/>
      </c>
      <c r="J866" s="13"/>
      <c r="K866" s="13"/>
    </row>
    <row r="867" customFormat="false" ht="15" hidden="false" customHeight="false" outlineLevel="0" collapsed="false">
      <c r="A867" s="12"/>
      <c r="B867" s="13"/>
      <c r="C867" s="13"/>
      <c r="D867" s="13"/>
      <c r="E867" s="7" t="str">
        <f aca="false">IF(D867="","",IFERROR(INDEX(Materiali!$B:$B,MATCH(D867,Materiali!$A:$A,0)),"codice?"))</f>
        <v/>
      </c>
      <c r="F867" s="13"/>
      <c r="G867" s="13"/>
      <c r="H867" s="9" t="str">
        <f aca="false">IF(D867="","",IFERROR(INDEX(Materiali!$C:$C,MATCH(D867,Materiali!$A:$A,0)),0))</f>
        <v/>
      </c>
      <c r="I867" s="9" t="str">
        <f aca="false">IF(OR(G867="",H867=""),"",IF(F867="Uscita",-1,1)*G867*H867)</f>
        <v/>
      </c>
      <c r="J867" s="13"/>
      <c r="K867" s="13"/>
    </row>
    <row r="868" customFormat="false" ht="15" hidden="false" customHeight="false" outlineLevel="0" collapsed="false">
      <c r="A868" s="12"/>
      <c r="B868" s="13"/>
      <c r="C868" s="13"/>
      <c r="D868" s="13"/>
      <c r="E868" s="7" t="str">
        <f aca="false">IF(D868="","",IFERROR(INDEX(Materiali!$B:$B,MATCH(D868,Materiali!$A:$A,0)),"codice?"))</f>
        <v/>
      </c>
      <c r="F868" s="13"/>
      <c r="G868" s="13"/>
      <c r="H868" s="9" t="str">
        <f aca="false">IF(D868="","",IFERROR(INDEX(Materiali!$C:$C,MATCH(D868,Materiali!$A:$A,0)),0))</f>
        <v/>
      </c>
      <c r="I868" s="9" t="str">
        <f aca="false">IF(OR(G868="",H868=""),"",IF(F868="Uscita",-1,1)*G868*H868)</f>
        <v/>
      </c>
      <c r="J868" s="13"/>
      <c r="K868" s="13"/>
    </row>
    <row r="869" customFormat="false" ht="15" hidden="false" customHeight="false" outlineLevel="0" collapsed="false">
      <c r="A869" s="12"/>
      <c r="B869" s="13"/>
      <c r="C869" s="13"/>
      <c r="D869" s="13"/>
      <c r="E869" s="7" t="str">
        <f aca="false">IF(D869="","",IFERROR(INDEX(Materiali!$B:$B,MATCH(D869,Materiali!$A:$A,0)),"codice?"))</f>
        <v/>
      </c>
      <c r="F869" s="13"/>
      <c r="G869" s="13"/>
      <c r="H869" s="9" t="str">
        <f aca="false">IF(D869="","",IFERROR(INDEX(Materiali!$C:$C,MATCH(D869,Materiali!$A:$A,0)),0))</f>
        <v/>
      </c>
      <c r="I869" s="9" t="str">
        <f aca="false">IF(OR(G869="",H869=""),"",IF(F869="Uscita",-1,1)*G869*H869)</f>
        <v/>
      </c>
      <c r="J869" s="13"/>
      <c r="K869" s="13"/>
    </row>
    <row r="870" customFormat="false" ht="15" hidden="false" customHeight="false" outlineLevel="0" collapsed="false">
      <c r="A870" s="12"/>
      <c r="B870" s="13"/>
      <c r="C870" s="13"/>
      <c r="D870" s="13"/>
      <c r="E870" s="7" t="str">
        <f aca="false">IF(D870="","",IFERROR(INDEX(Materiali!$B:$B,MATCH(D870,Materiali!$A:$A,0)),"codice?"))</f>
        <v/>
      </c>
      <c r="F870" s="13"/>
      <c r="G870" s="13"/>
      <c r="H870" s="9" t="str">
        <f aca="false">IF(D870="","",IFERROR(INDEX(Materiali!$C:$C,MATCH(D870,Materiali!$A:$A,0)),0))</f>
        <v/>
      </c>
      <c r="I870" s="9" t="str">
        <f aca="false">IF(OR(G870="",H870=""),"",IF(F870="Uscita",-1,1)*G870*H870)</f>
        <v/>
      </c>
      <c r="J870" s="13"/>
      <c r="K870" s="13"/>
    </row>
    <row r="871" customFormat="false" ht="15" hidden="false" customHeight="false" outlineLevel="0" collapsed="false">
      <c r="A871" s="12"/>
      <c r="B871" s="13"/>
      <c r="C871" s="13"/>
      <c r="D871" s="13"/>
      <c r="E871" s="7" t="str">
        <f aca="false">IF(D871="","",IFERROR(INDEX(Materiali!$B:$B,MATCH(D871,Materiali!$A:$A,0)),"codice?"))</f>
        <v/>
      </c>
      <c r="F871" s="13"/>
      <c r="G871" s="13"/>
      <c r="H871" s="9" t="str">
        <f aca="false">IF(D871="","",IFERROR(INDEX(Materiali!$C:$C,MATCH(D871,Materiali!$A:$A,0)),0))</f>
        <v/>
      </c>
      <c r="I871" s="9" t="str">
        <f aca="false">IF(OR(G871="",H871=""),"",IF(F871="Uscita",-1,1)*G871*H871)</f>
        <v/>
      </c>
      <c r="J871" s="13"/>
      <c r="K871" s="13"/>
    </row>
    <row r="872" customFormat="false" ht="15" hidden="false" customHeight="false" outlineLevel="0" collapsed="false">
      <c r="A872" s="12"/>
      <c r="B872" s="13"/>
      <c r="C872" s="13"/>
      <c r="D872" s="13"/>
      <c r="E872" s="7" t="str">
        <f aca="false">IF(D872="","",IFERROR(INDEX(Materiali!$B:$B,MATCH(D872,Materiali!$A:$A,0)),"codice?"))</f>
        <v/>
      </c>
      <c r="F872" s="13"/>
      <c r="G872" s="13"/>
      <c r="H872" s="9" t="str">
        <f aca="false">IF(D872="","",IFERROR(INDEX(Materiali!$C:$C,MATCH(D872,Materiali!$A:$A,0)),0))</f>
        <v/>
      </c>
      <c r="I872" s="9" t="str">
        <f aca="false">IF(OR(G872="",H872=""),"",IF(F872="Uscita",-1,1)*G872*H872)</f>
        <v/>
      </c>
      <c r="J872" s="13"/>
      <c r="K872" s="13"/>
    </row>
    <row r="873" customFormat="false" ht="15" hidden="false" customHeight="false" outlineLevel="0" collapsed="false">
      <c r="A873" s="12"/>
      <c r="B873" s="13"/>
      <c r="C873" s="13"/>
      <c r="D873" s="13"/>
      <c r="E873" s="7" t="str">
        <f aca="false">IF(D873="","",IFERROR(INDEX(Materiali!$B:$B,MATCH(D873,Materiali!$A:$A,0)),"codice?"))</f>
        <v/>
      </c>
      <c r="F873" s="13"/>
      <c r="G873" s="13"/>
      <c r="H873" s="9" t="str">
        <f aca="false">IF(D873="","",IFERROR(INDEX(Materiali!$C:$C,MATCH(D873,Materiali!$A:$A,0)),0))</f>
        <v/>
      </c>
      <c r="I873" s="9" t="str">
        <f aca="false">IF(OR(G873="",H873=""),"",IF(F873="Uscita",-1,1)*G873*H873)</f>
        <v/>
      </c>
      <c r="J873" s="13"/>
      <c r="K873" s="13"/>
    </row>
    <row r="874" customFormat="false" ht="15" hidden="false" customHeight="false" outlineLevel="0" collapsed="false">
      <c r="A874" s="12"/>
      <c r="B874" s="13"/>
      <c r="C874" s="13"/>
      <c r="D874" s="13"/>
      <c r="E874" s="7" t="str">
        <f aca="false">IF(D874="","",IFERROR(INDEX(Materiali!$B:$B,MATCH(D874,Materiali!$A:$A,0)),"codice?"))</f>
        <v/>
      </c>
      <c r="F874" s="13"/>
      <c r="G874" s="13"/>
      <c r="H874" s="9" t="str">
        <f aca="false">IF(D874="","",IFERROR(INDEX(Materiali!$C:$C,MATCH(D874,Materiali!$A:$A,0)),0))</f>
        <v/>
      </c>
      <c r="I874" s="9" t="str">
        <f aca="false">IF(OR(G874="",H874=""),"",IF(F874="Uscita",-1,1)*G874*H874)</f>
        <v/>
      </c>
      <c r="J874" s="13"/>
      <c r="K874" s="13"/>
    </row>
    <row r="875" customFormat="false" ht="15" hidden="false" customHeight="false" outlineLevel="0" collapsed="false">
      <c r="A875" s="12"/>
      <c r="B875" s="13"/>
      <c r="C875" s="13"/>
      <c r="D875" s="13"/>
      <c r="E875" s="7" t="str">
        <f aca="false">IF(D875="","",IFERROR(INDEX(Materiali!$B:$B,MATCH(D875,Materiali!$A:$A,0)),"codice?"))</f>
        <v/>
      </c>
      <c r="F875" s="13"/>
      <c r="G875" s="13"/>
      <c r="H875" s="9" t="str">
        <f aca="false">IF(D875="","",IFERROR(INDEX(Materiali!$C:$C,MATCH(D875,Materiali!$A:$A,0)),0))</f>
        <v/>
      </c>
      <c r="I875" s="9" t="str">
        <f aca="false">IF(OR(G875="",H875=""),"",IF(F875="Uscita",-1,1)*G875*H875)</f>
        <v/>
      </c>
      <c r="J875" s="13"/>
      <c r="K875" s="13"/>
    </row>
    <row r="876" customFormat="false" ht="15" hidden="false" customHeight="false" outlineLevel="0" collapsed="false">
      <c r="A876" s="12"/>
      <c r="B876" s="13"/>
      <c r="C876" s="13"/>
      <c r="D876" s="13"/>
      <c r="E876" s="7" t="str">
        <f aca="false">IF(D876="","",IFERROR(INDEX(Materiali!$B:$B,MATCH(D876,Materiali!$A:$A,0)),"codice?"))</f>
        <v/>
      </c>
      <c r="F876" s="13"/>
      <c r="G876" s="13"/>
      <c r="H876" s="9" t="str">
        <f aca="false">IF(D876="","",IFERROR(INDEX(Materiali!$C:$C,MATCH(D876,Materiali!$A:$A,0)),0))</f>
        <v/>
      </c>
      <c r="I876" s="9" t="str">
        <f aca="false">IF(OR(G876="",H876=""),"",IF(F876="Uscita",-1,1)*G876*H876)</f>
        <v/>
      </c>
      <c r="J876" s="13"/>
      <c r="K876" s="13"/>
    </row>
    <row r="877" customFormat="false" ht="15" hidden="false" customHeight="false" outlineLevel="0" collapsed="false">
      <c r="A877" s="12"/>
      <c r="B877" s="13"/>
      <c r="C877" s="13"/>
      <c r="D877" s="13"/>
      <c r="E877" s="7" t="str">
        <f aca="false">IF(D877="","",IFERROR(INDEX(Materiali!$B:$B,MATCH(D877,Materiali!$A:$A,0)),"codice?"))</f>
        <v/>
      </c>
      <c r="F877" s="13"/>
      <c r="G877" s="13"/>
      <c r="H877" s="9" t="str">
        <f aca="false">IF(D877="","",IFERROR(INDEX(Materiali!$C:$C,MATCH(D877,Materiali!$A:$A,0)),0))</f>
        <v/>
      </c>
      <c r="I877" s="9" t="str">
        <f aca="false">IF(OR(G877="",H877=""),"",IF(F877="Uscita",-1,1)*G877*H877)</f>
        <v/>
      </c>
      <c r="J877" s="13"/>
      <c r="K877" s="13"/>
    </row>
    <row r="878" customFormat="false" ht="15" hidden="false" customHeight="false" outlineLevel="0" collapsed="false">
      <c r="A878" s="12"/>
      <c r="B878" s="13"/>
      <c r="C878" s="13"/>
      <c r="D878" s="13"/>
      <c r="E878" s="7" t="str">
        <f aca="false">IF(D878="","",IFERROR(INDEX(Materiali!$B:$B,MATCH(D878,Materiali!$A:$A,0)),"codice?"))</f>
        <v/>
      </c>
      <c r="F878" s="13"/>
      <c r="G878" s="13"/>
      <c r="H878" s="9" t="str">
        <f aca="false">IF(D878="","",IFERROR(INDEX(Materiali!$C:$C,MATCH(D878,Materiali!$A:$A,0)),0))</f>
        <v/>
      </c>
      <c r="I878" s="9" t="str">
        <f aca="false">IF(OR(G878="",H878=""),"",IF(F878="Uscita",-1,1)*G878*H878)</f>
        <v/>
      </c>
      <c r="J878" s="13"/>
      <c r="K878" s="13"/>
    </row>
    <row r="879" customFormat="false" ht="15" hidden="false" customHeight="false" outlineLevel="0" collapsed="false">
      <c r="A879" s="12"/>
      <c r="B879" s="13"/>
      <c r="C879" s="13"/>
      <c r="D879" s="13"/>
      <c r="E879" s="7" t="str">
        <f aca="false">IF(D879="","",IFERROR(INDEX(Materiali!$B:$B,MATCH(D879,Materiali!$A:$A,0)),"codice?"))</f>
        <v/>
      </c>
      <c r="F879" s="13"/>
      <c r="G879" s="13"/>
      <c r="H879" s="9" t="str">
        <f aca="false">IF(D879="","",IFERROR(INDEX(Materiali!$C:$C,MATCH(D879,Materiali!$A:$A,0)),0))</f>
        <v/>
      </c>
      <c r="I879" s="9" t="str">
        <f aca="false">IF(OR(G879="",H879=""),"",IF(F879="Uscita",-1,1)*G879*H879)</f>
        <v/>
      </c>
      <c r="J879" s="13"/>
      <c r="K879" s="13"/>
    </row>
    <row r="880" customFormat="false" ht="15" hidden="false" customHeight="false" outlineLevel="0" collapsed="false">
      <c r="A880" s="12"/>
      <c r="B880" s="13"/>
      <c r="C880" s="13"/>
      <c r="D880" s="13"/>
      <c r="E880" s="7" t="str">
        <f aca="false">IF(D880="","",IFERROR(INDEX(Materiali!$B:$B,MATCH(D880,Materiali!$A:$A,0)),"codice?"))</f>
        <v/>
      </c>
      <c r="F880" s="13"/>
      <c r="G880" s="13"/>
      <c r="H880" s="9" t="str">
        <f aca="false">IF(D880="","",IFERROR(INDEX(Materiali!$C:$C,MATCH(D880,Materiali!$A:$A,0)),0))</f>
        <v/>
      </c>
      <c r="I880" s="9" t="str">
        <f aca="false">IF(OR(G880="",H880=""),"",IF(F880="Uscita",-1,1)*G880*H880)</f>
        <v/>
      </c>
      <c r="J880" s="13"/>
      <c r="K880" s="13"/>
    </row>
    <row r="881" customFormat="false" ht="15" hidden="false" customHeight="false" outlineLevel="0" collapsed="false">
      <c r="A881" s="12"/>
      <c r="B881" s="13"/>
      <c r="C881" s="13"/>
      <c r="D881" s="13"/>
      <c r="E881" s="7" t="str">
        <f aca="false">IF(D881="","",IFERROR(INDEX(Materiali!$B:$B,MATCH(D881,Materiali!$A:$A,0)),"codice?"))</f>
        <v/>
      </c>
      <c r="F881" s="13"/>
      <c r="G881" s="13"/>
      <c r="H881" s="9" t="str">
        <f aca="false">IF(D881="","",IFERROR(INDEX(Materiali!$C:$C,MATCH(D881,Materiali!$A:$A,0)),0))</f>
        <v/>
      </c>
      <c r="I881" s="9" t="str">
        <f aca="false">IF(OR(G881="",H881=""),"",IF(F881="Uscita",-1,1)*G881*H881)</f>
        <v/>
      </c>
      <c r="J881" s="13"/>
      <c r="K881" s="13"/>
    </row>
    <row r="882" customFormat="false" ht="15" hidden="false" customHeight="false" outlineLevel="0" collapsed="false">
      <c r="A882" s="12"/>
      <c r="B882" s="13"/>
      <c r="C882" s="13"/>
      <c r="D882" s="13"/>
      <c r="E882" s="7" t="str">
        <f aca="false">IF(D882="","",IFERROR(INDEX(Materiali!$B:$B,MATCH(D882,Materiali!$A:$A,0)),"codice?"))</f>
        <v/>
      </c>
      <c r="F882" s="13"/>
      <c r="G882" s="13"/>
      <c r="H882" s="9" t="str">
        <f aca="false">IF(D882="","",IFERROR(INDEX(Materiali!$C:$C,MATCH(D882,Materiali!$A:$A,0)),0))</f>
        <v/>
      </c>
      <c r="I882" s="9" t="str">
        <f aca="false">IF(OR(G882="",H882=""),"",IF(F882="Uscita",-1,1)*G882*H882)</f>
        <v/>
      </c>
      <c r="J882" s="13"/>
      <c r="K882" s="13"/>
    </row>
    <row r="883" customFormat="false" ht="15" hidden="false" customHeight="false" outlineLevel="0" collapsed="false">
      <c r="A883" s="12"/>
      <c r="B883" s="13"/>
      <c r="C883" s="13"/>
      <c r="D883" s="13"/>
      <c r="E883" s="7" t="str">
        <f aca="false">IF(D883="","",IFERROR(INDEX(Materiali!$B:$B,MATCH(D883,Materiali!$A:$A,0)),"codice?"))</f>
        <v/>
      </c>
      <c r="F883" s="13"/>
      <c r="G883" s="13"/>
      <c r="H883" s="9" t="str">
        <f aca="false">IF(D883="","",IFERROR(INDEX(Materiali!$C:$C,MATCH(D883,Materiali!$A:$A,0)),0))</f>
        <v/>
      </c>
      <c r="I883" s="9" t="str">
        <f aca="false">IF(OR(G883="",H883=""),"",IF(F883="Uscita",-1,1)*G883*H883)</f>
        <v/>
      </c>
      <c r="J883" s="13"/>
      <c r="K883" s="13"/>
    </row>
    <row r="884" customFormat="false" ht="15" hidden="false" customHeight="false" outlineLevel="0" collapsed="false">
      <c r="A884" s="12"/>
      <c r="B884" s="13"/>
      <c r="C884" s="13"/>
      <c r="D884" s="13"/>
      <c r="E884" s="7" t="str">
        <f aca="false">IF(D884="","",IFERROR(INDEX(Materiali!$B:$B,MATCH(D884,Materiali!$A:$A,0)),"codice?"))</f>
        <v/>
      </c>
      <c r="F884" s="13"/>
      <c r="G884" s="13"/>
      <c r="H884" s="9" t="str">
        <f aca="false">IF(D884="","",IFERROR(INDEX(Materiali!$C:$C,MATCH(D884,Materiali!$A:$A,0)),0))</f>
        <v/>
      </c>
      <c r="I884" s="9" t="str">
        <f aca="false">IF(OR(G884="",H884=""),"",IF(F884="Uscita",-1,1)*G884*H884)</f>
        <v/>
      </c>
      <c r="J884" s="13"/>
      <c r="K884" s="13"/>
    </row>
    <row r="885" customFormat="false" ht="15" hidden="false" customHeight="false" outlineLevel="0" collapsed="false">
      <c r="A885" s="12"/>
      <c r="B885" s="13"/>
      <c r="C885" s="13"/>
      <c r="D885" s="13"/>
      <c r="E885" s="7" t="str">
        <f aca="false">IF(D885="","",IFERROR(INDEX(Materiali!$B:$B,MATCH(D885,Materiali!$A:$A,0)),"codice?"))</f>
        <v/>
      </c>
      <c r="F885" s="13"/>
      <c r="G885" s="13"/>
      <c r="H885" s="9" t="str">
        <f aca="false">IF(D885="","",IFERROR(INDEX(Materiali!$C:$C,MATCH(D885,Materiali!$A:$A,0)),0))</f>
        <v/>
      </c>
      <c r="I885" s="9" t="str">
        <f aca="false">IF(OR(G885="",H885=""),"",IF(F885="Uscita",-1,1)*G885*H885)</f>
        <v/>
      </c>
      <c r="J885" s="13"/>
      <c r="K885" s="13"/>
    </row>
    <row r="886" customFormat="false" ht="15" hidden="false" customHeight="false" outlineLevel="0" collapsed="false">
      <c r="A886" s="12"/>
      <c r="B886" s="13"/>
      <c r="C886" s="13"/>
      <c r="D886" s="13"/>
      <c r="E886" s="7" t="str">
        <f aca="false">IF(D886="","",IFERROR(INDEX(Materiali!$B:$B,MATCH(D886,Materiali!$A:$A,0)),"codice?"))</f>
        <v/>
      </c>
      <c r="F886" s="13"/>
      <c r="G886" s="13"/>
      <c r="H886" s="9" t="str">
        <f aca="false">IF(D886="","",IFERROR(INDEX(Materiali!$C:$C,MATCH(D886,Materiali!$A:$A,0)),0))</f>
        <v/>
      </c>
      <c r="I886" s="9" t="str">
        <f aca="false">IF(OR(G886="",H886=""),"",IF(F886="Uscita",-1,1)*G886*H886)</f>
        <v/>
      </c>
      <c r="J886" s="13"/>
      <c r="K886" s="13"/>
    </row>
    <row r="887" customFormat="false" ht="15" hidden="false" customHeight="false" outlineLevel="0" collapsed="false">
      <c r="A887" s="12"/>
      <c r="B887" s="13"/>
      <c r="C887" s="13"/>
      <c r="D887" s="13"/>
      <c r="E887" s="7" t="str">
        <f aca="false">IF(D887="","",IFERROR(INDEX(Materiali!$B:$B,MATCH(D887,Materiali!$A:$A,0)),"codice?"))</f>
        <v/>
      </c>
      <c r="F887" s="13"/>
      <c r="G887" s="13"/>
      <c r="H887" s="9" t="str">
        <f aca="false">IF(D887="","",IFERROR(INDEX(Materiali!$C:$C,MATCH(D887,Materiali!$A:$A,0)),0))</f>
        <v/>
      </c>
      <c r="I887" s="9" t="str">
        <f aca="false">IF(OR(G887="",H887=""),"",IF(F887="Uscita",-1,1)*G887*H887)</f>
        <v/>
      </c>
      <c r="J887" s="13"/>
      <c r="K887" s="13"/>
    </row>
    <row r="888" customFormat="false" ht="15" hidden="false" customHeight="false" outlineLevel="0" collapsed="false">
      <c r="A888" s="12"/>
      <c r="B888" s="13"/>
      <c r="C888" s="13"/>
      <c r="D888" s="13"/>
      <c r="E888" s="7" t="str">
        <f aca="false">IF(D888="","",IFERROR(INDEX(Materiali!$B:$B,MATCH(D888,Materiali!$A:$A,0)),"codice?"))</f>
        <v/>
      </c>
      <c r="F888" s="13"/>
      <c r="G888" s="13"/>
      <c r="H888" s="9" t="str">
        <f aca="false">IF(D888="","",IFERROR(INDEX(Materiali!$C:$C,MATCH(D888,Materiali!$A:$A,0)),0))</f>
        <v/>
      </c>
      <c r="I888" s="9" t="str">
        <f aca="false">IF(OR(G888="",H888=""),"",IF(F888="Uscita",-1,1)*G888*H888)</f>
        <v/>
      </c>
      <c r="J888" s="13"/>
      <c r="K888" s="13"/>
    </row>
    <row r="889" customFormat="false" ht="15" hidden="false" customHeight="false" outlineLevel="0" collapsed="false">
      <c r="A889" s="12"/>
      <c r="B889" s="13"/>
      <c r="C889" s="13"/>
      <c r="D889" s="13"/>
      <c r="E889" s="7" t="str">
        <f aca="false">IF(D889="","",IFERROR(INDEX(Materiali!$B:$B,MATCH(D889,Materiali!$A:$A,0)),"codice?"))</f>
        <v/>
      </c>
      <c r="F889" s="13"/>
      <c r="G889" s="13"/>
      <c r="H889" s="9" t="str">
        <f aca="false">IF(D889="","",IFERROR(INDEX(Materiali!$C:$C,MATCH(D889,Materiali!$A:$A,0)),0))</f>
        <v/>
      </c>
      <c r="I889" s="9" t="str">
        <f aca="false">IF(OR(G889="",H889=""),"",IF(F889="Uscita",-1,1)*G889*H889)</f>
        <v/>
      </c>
      <c r="J889" s="13"/>
      <c r="K889" s="13"/>
    </row>
    <row r="890" customFormat="false" ht="15" hidden="false" customHeight="false" outlineLevel="0" collapsed="false">
      <c r="A890" s="12"/>
      <c r="B890" s="13"/>
      <c r="C890" s="13"/>
      <c r="D890" s="13"/>
      <c r="E890" s="7" t="str">
        <f aca="false">IF(D890="","",IFERROR(INDEX(Materiali!$B:$B,MATCH(D890,Materiali!$A:$A,0)),"codice?"))</f>
        <v/>
      </c>
      <c r="F890" s="13"/>
      <c r="G890" s="13"/>
      <c r="H890" s="9" t="str">
        <f aca="false">IF(D890="","",IFERROR(INDEX(Materiali!$C:$C,MATCH(D890,Materiali!$A:$A,0)),0))</f>
        <v/>
      </c>
      <c r="I890" s="9" t="str">
        <f aca="false">IF(OR(G890="",H890=""),"",IF(F890="Uscita",-1,1)*G890*H890)</f>
        <v/>
      </c>
      <c r="J890" s="13"/>
      <c r="K890" s="13"/>
    </row>
    <row r="891" customFormat="false" ht="15" hidden="false" customHeight="false" outlineLevel="0" collapsed="false">
      <c r="A891" s="12"/>
      <c r="B891" s="13"/>
      <c r="C891" s="13"/>
      <c r="D891" s="13"/>
      <c r="E891" s="7" t="str">
        <f aca="false">IF(D891="","",IFERROR(INDEX(Materiali!$B:$B,MATCH(D891,Materiali!$A:$A,0)),"codice?"))</f>
        <v/>
      </c>
      <c r="F891" s="13"/>
      <c r="G891" s="13"/>
      <c r="H891" s="9" t="str">
        <f aca="false">IF(D891="","",IFERROR(INDEX(Materiali!$C:$C,MATCH(D891,Materiali!$A:$A,0)),0))</f>
        <v/>
      </c>
      <c r="I891" s="9" t="str">
        <f aca="false">IF(OR(G891="",H891=""),"",IF(F891="Uscita",-1,1)*G891*H891)</f>
        <v/>
      </c>
      <c r="J891" s="13"/>
      <c r="K891" s="13"/>
    </row>
    <row r="892" customFormat="false" ht="15" hidden="false" customHeight="false" outlineLevel="0" collapsed="false">
      <c r="A892" s="12"/>
      <c r="B892" s="13"/>
      <c r="C892" s="13"/>
      <c r="D892" s="13"/>
      <c r="E892" s="7" t="str">
        <f aca="false">IF(D892="","",IFERROR(INDEX(Materiali!$B:$B,MATCH(D892,Materiali!$A:$A,0)),"codice?"))</f>
        <v/>
      </c>
      <c r="F892" s="13"/>
      <c r="G892" s="13"/>
      <c r="H892" s="9" t="str">
        <f aca="false">IF(D892="","",IFERROR(INDEX(Materiali!$C:$C,MATCH(D892,Materiali!$A:$A,0)),0))</f>
        <v/>
      </c>
      <c r="I892" s="9" t="str">
        <f aca="false">IF(OR(G892="",H892=""),"",IF(F892="Uscita",-1,1)*G892*H892)</f>
        <v/>
      </c>
      <c r="J892" s="13"/>
      <c r="K892" s="13"/>
    </row>
    <row r="893" customFormat="false" ht="15" hidden="false" customHeight="false" outlineLevel="0" collapsed="false">
      <c r="A893" s="12"/>
      <c r="B893" s="13"/>
      <c r="C893" s="13"/>
      <c r="D893" s="13"/>
      <c r="E893" s="7" t="str">
        <f aca="false">IF(D893="","",IFERROR(INDEX(Materiali!$B:$B,MATCH(D893,Materiali!$A:$A,0)),"codice?"))</f>
        <v/>
      </c>
      <c r="F893" s="13"/>
      <c r="G893" s="13"/>
      <c r="H893" s="9" t="str">
        <f aca="false">IF(D893="","",IFERROR(INDEX(Materiali!$C:$C,MATCH(D893,Materiali!$A:$A,0)),0))</f>
        <v/>
      </c>
      <c r="I893" s="9" t="str">
        <f aca="false">IF(OR(G893="",H893=""),"",IF(F893="Uscita",-1,1)*G893*H893)</f>
        <v/>
      </c>
      <c r="J893" s="13"/>
      <c r="K893" s="13"/>
    </row>
    <row r="894" customFormat="false" ht="15" hidden="false" customHeight="false" outlineLevel="0" collapsed="false">
      <c r="A894" s="12"/>
      <c r="B894" s="13"/>
      <c r="C894" s="13"/>
      <c r="D894" s="13"/>
      <c r="E894" s="7" t="str">
        <f aca="false">IF(D894="","",IFERROR(INDEX(Materiali!$B:$B,MATCH(D894,Materiali!$A:$A,0)),"codice?"))</f>
        <v/>
      </c>
      <c r="F894" s="13"/>
      <c r="G894" s="13"/>
      <c r="H894" s="9" t="str">
        <f aca="false">IF(D894="","",IFERROR(INDEX(Materiali!$C:$C,MATCH(D894,Materiali!$A:$A,0)),0))</f>
        <v/>
      </c>
      <c r="I894" s="9" t="str">
        <f aca="false">IF(OR(G894="",H894=""),"",IF(F894="Uscita",-1,1)*G894*H894)</f>
        <v/>
      </c>
      <c r="J894" s="13"/>
      <c r="K894" s="13"/>
    </row>
    <row r="895" customFormat="false" ht="15" hidden="false" customHeight="false" outlineLevel="0" collapsed="false">
      <c r="A895" s="12"/>
      <c r="B895" s="13"/>
      <c r="C895" s="13"/>
      <c r="D895" s="13"/>
      <c r="E895" s="7" t="str">
        <f aca="false">IF(D895="","",IFERROR(INDEX(Materiali!$B:$B,MATCH(D895,Materiali!$A:$A,0)),"codice?"))</f>
        <v/>
      </c>
      <c r="F895" s="13"/>
      <c r="G895" s="13"/>
      <c r="H895" s="9" t="str">
        <f aca="false">IF(D895="","",IFERROR(INDEX(Materiali!$C:$C,MATCH(D895,Materiali!$A:$A,0)),0))</f>
        <v/>
      </c>
      <c r="I895" s="9" t="str">
        <f aca="false">IF(OR(G895="",H895=""),"",IF(F895="Uscita",-1,1)*G895*H895)</f>
        <v/>
      </c>
      <c r="J895" s="13"/>
      <c r="K895" s="13"/>
    </row>
    <row r="896" customFormat="false" ht="15" hidden="false" customHeight="false" outlineLevel="0" collapsed="false">
      <c r="A896" s="12"/>
      <c r="B896" s="13"/>
      <c r="C896" s="13"/>
      <c r="D896" s="13"/>
      <c r="E896" s="7" t="str">
        <f aca="false">IF(D896="","",IFERROR(INDEX(Materiali!$B:$B,MATCH(D896,Materiali!$A:$A,0)),"codice?"))</f>
        <v/>
      </c>
      <c r="F896" s="13"/>
      <c r="G896" s="13"/>
      <c r="H896" s="9" t="str">
        <f aca="false">IF(D896="","",IFERROR(INDEX(Materiali!$C:$C,MATCH(D896,Materiali!$A:$A,0)),0))</f>
        <v/>
      </c>
      <c r="I896" s="9" t="str">
        <f aca="false">IF(OR(G896="",H896=""),"",IF(F896="Uscita",-1,1)*G896*H896)</f>
        <v/>
      </c>
      <c r="J896" s="13"/>
      <c r="K896" s="13"/>
    </row>
    <row r="897" customFormat="false" ht="15" hidden="false" customHeight="false" outlineLevel="0" collapsed="false">
      <c r="A897" s="12"/>
      <c r="B897" s="13"/>
      <c r="C897" s="13"/>
      <c r="D897" s="13"/>
      <c r="E897" s="7" t="str">
        <f aca="false">IF(D897="","",IFERROR(INDEX(Materiali!$B:$B,MATCH(D897,Materiali!$A:$A,0)),"codice?"))</f>
        <v/>
      </c>
      <c r="F897" s="13"/>
      <c r="G897" s="13"/>
      <c r="H897" s="9" t="str">
        <f aca="false">IF(D897="","",IFERROR(INDEX(Materiali!$C:$C,MATCH(D897,Materiali!$A:$A,0)),0))</f>
        <v/>
      </c>
      <c r="I897" s="9" t="str">
        <f aca="false">IF(OR(G897="",H897=""),"",IF(F897="Uscita",-1,1)*G897*H897)</f>
        <v/>
      </c>
      <c r="J897" s="13"/>
      <c r="K897" s="13"/>
    </row>
    <row r="898" customFormat="false" ht="15" hidden="false" customHeight="false" outlineLevel="0" collapsed="false">
      <c r="A898" s="12"/>
      <c r="B898" s="13"/>
      <c r="C898" s="13"/>
      <c r="D898" s="13"/>
      <c r="E898" s="7" t="str">
        <f aca="false">IF(D898="","",IFERROR(INDEX(Materiali!$B:$B,MATCH(D898,Materiali!$A:$A,0)),"codice?"))</f>
        <v/>
      </c>
      <c r="F898" s="13"/>
      <c r="G898" s="13"/>
      <c r="H898" s="9" t="str">
        <f aca="false">IF(D898="","",IFERROR(INDEX(Materiali!$C:$C,MATCH(D898,Materiali!$A:$A,0)),0))</f>
        <v/>
      </c>
      <c r="I898" s="9" t="str">
        <f aca="false">IF(OR(G898="",H898=""),"",IF(F898="Uscita",-1,1)*G898*H898)</f>
        <v/>
      </c>
      <c r="J898" s="13"/>
      <c r="K898" s="13"/>
    </row>
    <row r="899" customFormat="false" ht="15" hidden="false" customHeight="false" outlineLevel="0" collapsed="false">
      <c r="A899" s="12"/>
      <c r="B899" s="13"/>
      <c r="C899" s="13"/>
      <c r="D899" s="13"/>
      <c r="E899" s="7" t="str">
        <f aca="false">IF(D899="","",IFERROR(INDEX(Materiali!$B:$B,MATCH(D899,Materiali!$A:$A,0)),"codice?"))</f>
        <v/>
      </c>
      <c r="F899" s="13"/>
      <c r="G899" s="13"/>
      <c r="H899" s="9" t="str">
        <f aca="false">IF(D899="","",IFERROR(INDEX(Materiali!$C:$C,MATCH(D899,Materiali!$A:$A,0)),0))</f>
        <v/>
      </c>
      <c r="I899" s="9" t="str">
        <f aca="false">IF(OR(G899="",H899=""),"",IF(F899="Uscita",-1,1)*G899*H899)</f>
        <v/>
      </c>
      <c r="J899" s="13"/>
      <c r="K899" s="13"/>
    </row>
    <row r="900" customFormat="false" ht="15" hidden="false" customHeight="false" outlineLevel="0" collapsed="false">
      <c r="A900" s="12"/>
      <c r="B900" s="13"/>
      <c r="C900" s="13"/>
      <c r="D900" s="13"/>
      <c r="E900" s="7" t="str">
        <f aca="false">IF(D900="","",IFERROR(INDEX(Materiali!$B:$B,MATCH(D900,Materiali!$A:$A,0)),"codice?"))</f>
        <v/>
      </c>
      <c r="F900" s="13"/>
      <c r="G900" s="13"/>
      <c r="H900" s="9" t="str">
        <f aca="false">IF(D900="","",IFERROR(INDEX(Materiali!$C:$C,MATCH(D900,Materiali!$A:$A,0)),0))</f>
        <v/>
      </c>
      <c r="I900" s="9" t="str">
        <f aca="false">IF(OR(G900="",H900=""),"",IF(F900="Uscita",-1,1)*G900*H900)</f>
        <v/>
      </c>
      <c r="J900" s="13"/>
      <c r="K900" s="13"/>
    </row>
    <row r="901" customFormat="false" ht="15" hidden="false" customHeight="false" outlineLevel="0" collapsed="false">
      <c r="A901" s="12"/>
      <c r="B901" s="13"/>
      <c r="C901" s="13"/>
      <c r="D901" s="13"/>
      <c r="E901" s="7" t="str">
        <f aca="false">IF(D901="","",IFERROR(INDEX(Materiali!$B:$B,MATCH(D901,Materiali!$A:$A,0)),"codice?"))</f>
        <v/>
      </c>
      <c r="F901" s="13"/>
      <c r="G901" s="13"/>
      <c r="H901" s="9" t="str">
        <f aca="false">IF(D901="","",IFERROR(INDEX(Materiali!$C:$C,MATCH(D901,Materiali!$A:$A,0)),0))</f>
        <v/>
      </c>
      <c r="I901" s="9" t="str">
        <f aca="false">IF(OR(G901="",H901=""),"",IF(F901="Uscita",-1,1)*G901*H901)</f>
        <v/>
      </c>
      <c r="J901" s="13"/>
      <c r="K901" s="13"/>
    </row>
    <row r="902" customFormat="false" ht="15" hidden="false" customHeight="false" outlineLevel="0" collapsed="false">
      <c r="A902" s="12"/>
      <c r="B902" s="13"/>
      <c r="C902" s="13"/>
      <c r="D902" s="13"/>
      <c r="E902" s="7" t="str">
        <f aca="false">IF(D902="","",IFERROR(INDEX(Materiali!$B:$B,MATCH(D902,Materiali!$A:$A,0)),"codice?"))</f>
        <v/>
      </c>
      <c r="F902" s="13"/>
      <c r="G902" s="13"/>
      <c r="H902" s="9" t="str">
        <f aca="false">IF(D902="","",IFERROR(INDEX(Materiali!$C:$C,MATCH(D902,Materiali!$A:$A,0)),0))</f>
        <v/>
      </c>
      <c r="I902" s="9" t="str">
        <f aca="false">IF(OR(G902="",H902=""),"",IF(F902="Uscita",-1,1)*G902*H902)</f>
        <v/>
      </c>
      <c r="J902" s="13"/>
      <c r="K902" s="13"/>
    </row>
    <row r="903" customFormat="false" ht="15" hidden="false" customHeight="false" outlineLevel="0" collapsed="false">
      <c r="A903" s="12"/>
      <c r="B903" s="13"/>
      <c r="C903" s="13"/>
      <c r="D903" s="13"/>
      <c r="E903" s="7" t="str">
        <f aca="false">IF(D903="","",IFERROR(INDEX(Materiali!$B:$B,MATCH(D903,Materiali!$A:$A,0)),"codice?"))</f>
        <v/>
      </c>
      <c r="F903" s="13"/>
      <c r="G903" s="13"/>
      <c r="H903" s="9" t="str">
        <f aca="false">IF(D903="","",IFERROR(INDEX(Materiali!$C:$C,MATCH(D903,Materiali!$A:$A,0)),0))</f>
        <v/>
      </c>
      <c r="I903" s="9" t="str">
        <f aca="false">IF(OR(G903="",H903=""),"",IF(F903="Uscita",-1,1)*G903*H903)</f>
        <v/>
      </c>
      <c r="J903" s="13"/>
      <c r="K903" s="13"/>
    </row>
    <row r="904" customFormat="false" ht="15" hidden="false" customHeight="false" outlineLevel="0" collapsed="false">
      <c r="A904" s="12"/>
      <c r="B904" s="13"/>
      <c r="C904" s="13"/>
      <c r="D904" s="13"/>
      <c r="E904" s="7" t="str">
        <f aca="false">IF(D904="","",IFERROR(INDEX(Materiali!$B:$B,MATCH(D904,Materiali!$A:$A,0)),"codice?"))</f>
        <v/>
      </c>
      <c r="F904" s="13"/>
      <c r="G904" s="13"/>
      <c r="H904" s="9" t="str">
        <f aca="false">IF(D904="","",IFERROR(INDEX(Materiali!$C:$C,MATCH(D904,Materiali!$A:$A,0)),0))</f>
        <v/>
      </c>
      <c r="I904" s="9" t="str">
        <f aca="false">IF(OR(G904="",H904=""),"",IF(F904="Uscita",-1,1)*G904*H904)</f>
        <v/>
      </c>
      <c r="J904" s="13"/>
      <c r="K904" s="13"/>
    </row>
    <row r="905" customFormat="false" ht="15" hidden="false" customHeight="false" outlineLevel="0" collapsed="false">
      <c r="A905" s="12"/>
      <c r="B905" s="13"/>
      <c r="C905" s="13"/>
      <c r="D905" s="13"/>
      <c r="E905" s="7" t="str">
        <f aca="false">IF(D905="","",IFERROR(INDEX(Materiali!$B:$B,MATCH(D905,Materiali!$A:$A,0)),"codice?"))</f>
        <v/>
      </c>
      <c r="F905" s="13"/>
      <c r="G905" s="13"/>
      <c r="H905" s="9" t="str">
        <f aca="false">IF(D905="","",IFERROR(INDEX(Materiali!$C:$C,MATCH(D905,Materiali!$A:$A,0)),0))</f>
        <v/>
      </c>
      <c r="I905" s="9" t="str">
        <f aca="false">IF(OR(G905="",H905=""),"",IF(F905="Uscita",-1,1)*G905*H905)</f>
        <v/>
      </c>
      <c r="J905" s="13"/>
      <c r="K905" s="13"/>
    </row>
    <row r="906" customFormat="false" ht="15" hidden="false" customHeight="false" outlineLevel="0" collapsed="false">
      <c r="A906" s="12"/>
      <c r="B906" s="13"/>
      <c r="C906" s="13"/>
      <c r="D906" s="13"/>
      <c r="E906" s="7" t="str">
        <f aca="false">IF(D906="","",IFERROR(INDEX(Materiali!$B:$B,MATCH(D906,Materiali!$A:$A,0)),"codice?"))</f>
        <v/>
      </c>
      <c r="F906" s="13"/>
      <c r="G906" s="13"/>
      <c r="H906" s="9" t="str">
        <f aca="false">IF(D906="","",IFERROR(INDEX(Materiali!$C:$C,MATCH(D906,Materiali!$A:$A,0)),0))</f>
        <v/>
      </c>
      <c r="I906" s="9" t="str">
        <f aca="false">IF(OR(G906="",H906=""),"",IF(F906="Uscita",-1,1)*G906*H906)</f>
        <v/>
      </c>
      <c r="J906" s="13"/>
      <c r="K906" s="13"/>
    </row>
    <row r="907" customFormat="false" ht="15" hidden="false" customHeight="false" outlineLevel="0" collapsed="false">
      <c r="A907" s="12"/>
      <c r="B907" s="13"/>
      <c r="C907" s="13"/>
      <c r="D907" s="13"/>
      <c r="E907" s="7" t="str">
        <f aca="false">IF(D907="","",IFERROR(INDEX(Materiali!$B:$B,MATCH(D907,Materiali!$A:$A,0)),"codice?"))</f>
        <v/>
      </c>
      <c r="F907" s="13"/>
      <c r="G907" s="13"/>
      <c r="H907" s="9" t="str">
        <f aca="false">IF(D907="","",IFERROR(INDEX(Materiali!$C:$C,MATCH(D907,Materiali!$A:$A,0)),0))</f>
        <v/>
      </c>
      <c r="I907" s="9" t="str">
        <f aca="false">IF(OR(G907="",H907=""),"",IF(F907="Uscita",-1,1)*G907*H907)</f>
        <v/>
      </c>
      <c r="J907" s="13"/>
      <c r="K907" s="13"/>
    </row>
    <row r="908" customFormat="false" ht="15" hidden="false" customHeight="false" outlineLevel="0" collapsed="false">
      <c r="A908" s="12"/>
      <c r="B908" s="13"/>
      <c r="C908" s="13"/>
      <c r="D908" s="13"/>
      <c r="E908" s="7" t="str">
        <f aca="false">IF(D908="","",IFERROR(INDEX(Materiali!$B:$B,MATCH(D908,Materiali!$A:$A,0)),"codice?"))</f>
        <v/>
      </c>
      <c r="F908" s="13"/>
      <c r="G908" s="13"/>
      <c r="H908" s="9" t="str">
        <f aca="false">IF(D908="","",IFERROR(INDEX(Materiali!$C:$C,MATCH(D908,Materiali!$A:$A,0)),0))</f>
        <v/>
      </c>
      <c r="I908" s="9" t="str">
        <f aca="false">IF(OR(G908="",H908=""),"",IF(F908="Uscita",-1,1)*G908*H908)</f>
        <v/>
      </c>
      <c r="J908" s="13"/>
      <c r="K908" s="13"/>
    </row>
    <row r="909" customFormat="false" ht="15" hidden="false" customHeight="false" outlineLevel="0" collapsed="false">
      <c r="A909" s="12"/>
      <c r="B909" s="13"/>
      <c r="C909" s="13"/>
      <c r="D909" s="13"/>
      <c r="E909" s="7" t="str">
        <f aca="false">IF(D909="","",IFERROR(INDEX(Materiali!$B:$B,MATCH(D909,Materiali!$A:$A,0)),"codice?"))</f>
        <v/>
      </c>
      <c r="F909" s="13"/>
      <c r="G909" s="13"/>
      <c r="H909" s="9" t="str">
        <f aca="false">IF(D909="","",IFERROR(INDEX(Materiali!$C:$C,MATCH(D909,Materiali!$A:$A,0)),0))</f>
        <v/>
      </c>
      <c r="I909" s="9" t="str">
        <f aca="false">IF(OR(G909="",H909=""),"",IF(F909="Uscita",-1,1)*G909*H909)</f>
        <v/>
      </c>
      <c r="J909" s="13"/>
      <c r="K909" s="13"/>
    </row>
    <row r="910" customFormat="false" ht="15" hidden="false" customHeight="false" outlineLevel="0" collapsed="false">
      <c r="A910" s="12"/>
      <c r="B910" s="13"/>
      <c r="C910" s="13"/>
      <c r="D910" s="13"/>
      <c r="E910" s="7" t="str">
        <f aca="false">IF(D910="","",IFERROR(INDEX(Materiali!$B:$B,MATCH(D910,Materiali!$A:$A,0)),"codice?"))</f>
        <v/>
      </c>
      <c r="F910" s="13"/>
      <c r="G910" s="13"/>
      <c r="H910" s="9" t="str">
        <f aca="false">IF(D910="","",IFERROR(INDEX(Materiali!$C:$C,MATCH(D910,Materiali!$A:$A,0)),0))</f>
        <v/>
      </c>
      <c r="I910" s="9" t="str">
        <f aca="false">IF(OR(G910="",H910=""),"",IF(F910="Uscita",-1,1)*G910*H910)</f>
        <v/>
      </c>
      <c r="J910" s="13"/>
      <c r="K910" s="13"/>
    </row>
    <row r="911" customFormat="false" ht="15" hidden="false" customHeight="false" outlineLevel="0" collapsed="false">
      <c r="A911" s="12"/>
      <c r="B911" s="13"/>
      <c r="C911" s="13"/>
      <c r="D911" s="13"/>
      <c r="E911" s="7" t="str">
        <f aca="false">IF(D911="","",IFERROR(INDEX(Materiali!$B:$B,MATCH(D911,Materiali!$A:$A,0)),"codice?"))</f>
        <v/>
      </c>
      <c r="F911" s="13"/>
      <c r="G911" s="13"/>
      <c r="H911" s="9" t="str">
        <f aca="false">IF(D911="","",IFERROR(INDEX(Materiali!$C:$C,MATCH(D911,Materiali!$A:$A,0)),0))</f>
        <v/>
      </c>
      <c r="I911" s="9" t="str">
        <f aca="false">IF(OR(G911="",H911=""),"",IF(F911="Uscita",-1,1)*G911*H911)</f>
        <v/>
      </c>
      <c r="J911" s="13"/>
      <c r="K911" s="13"/>
    </row>
    <row r="912" customFormat="false" ht="15" hidden="false" customHeight="false" outlineLevel="0" collapsed="false">
      <c r="A912" s="12"/>
      <c r="B912" s="13"/>
      <c r="C912" s="13"/>
      <c r="D912" s="13"/>
      <c r="E912" s="7" t="str">
        <f aca="false">IF(D912="","",IFERROR(INDEX(Materiali!$B:$B,MATCH(D912,Materiali!$A:$A,0)),"codice?"))</f>
        <v/>
      </c>
      <c r="F912" s="13"/>
      <c r="G912" s="13"/>
      <c r="H912" s="9" t="str">
        <f aca="false">IF(D912="","",IFERROR(INDEX(Materiali!$C:$C,MATCH(D912,Materiali!$A:$A,0)),0))</f>
        <v/>
      </c>
      <c r="I912" s="9" t="str">
        <f aca="false">IF(OR(G912="",H912=""),"",IF(F912="Uscita",-1,1)*G912*H912)</f>
        <v/>
      </c>
      <c r="J912" s="13"/>
      <c r="K912" s="13"/>
    </row>
    <row r="913" customFormat="false" ht="15" hidden="false" customHeight="false" outlineLevel="0" collapsed="false">
      <c r="A913" s="12"/>
      <c r="B913" s="13"/>
      <c r="C913" s="13"/>
      <c r="D913" s="13"/>
      <c r="E913" s="7" t="str">
        <f aca="false">IF(D913="","",IFERROR(INDEX(Materiali!$B:$B,MATCH(D913,Materiali!$A:$A,0)),"codice?"))</f>
        <v/>
      </c>
      <c r="F913" s="13"/>
      <c r="G913" s="13"/>
      <c r="H913" s="9" t="str">
        <f aca="false">IF(D913="","",IFERROR(INDEX(Materiali!$C:$C,MATCH(D913,Materiali!$A:$A,0)),0))</f>
        <v/>
      </c>
      <c r="I913" s="9" t="str">
        <f aca="false">IF(OR(G913="",H913=""),"",IF(F913="Uscita",-1,1)*G913*H913)</f>
        <v/>
      </c>
      <c r="J913" s="13"/>
      <c r="K913" s="13"/>
    </row>
    <row r="914" customFormat="false" ht="15" hidden="false" customHeight="false" outlineLevel="0" collapsed="false">
      <c r="A914" s="12"/>
      <c r="B914" s="13"/>
      <c r="C914" s="13"/>
      <c r="D914" s="13"/>
      <c r="E914" s="7" t="str">
        <f aca="false">IF(D914="","",IFERROR(INDEX(Materiali!$B:$B,MATCH(D914,Materiali!$A:$A,0)),"codice?"))</f>
        <v/>
      </c>
      <c r="F914" s="13"/>
      <c r="G914" s="13"/>
      <c r="H914" s="9" t="str">
        <f aca="false">IF(D914="","",IFERROR(INDEX(Materiali!$C:$C,MATCH(D914,Materiali!$A:$A,0)),0))</f>
        <v/>
      </c>
      <c r="I914" s="9" t="str">
        <f aca="false">IF(OR(G914="",H914=""),"",IF(F914="Uscita",-1,1)*G914*H914)</f>
        <v/>
      </c>
      <c r="J914" s="13"/>
      <c r="K914" s="13"/>
    </row>
    <row r="915" customFormat="false" ht="15" hidden="false" customHeight="false" outlineLevel="0" collapsed="false">
      <c r="A915" s="12"/>
      <c r="B915" s="13"/>
      <c r="C915" s="13"/>
      <c r="D915" s="13"/>
      <c r="E915" s="7" t="str">
        <f aca="false">IF(D915="","",IFERROR(INDEX(Materiali!$B:$B,MATCH(D915,Materiali!$A:$A,0)),"codice?"))</f>
        <v/>
      </c>
      <c r="F915" s="13"/>
      <c r="G915" s="13"/>
      <c r="H915" s="9" t="str">
        <f aca="false">IF(D915="","",IFERROR(INDEX(Materiali!$C:$C,MATCH(D915,Materiali!$A:$A,0)),0))</f>
        <v/>
      </c>
      <c r="I915" s="9" t="str">
        <f aca="false">IF(OR(G915="",H915=""),"",IF(F915="Uscita",-1,1)*G915*H915)</f>
        <v/>
      </c>
      <c r="J915" s="13"/>
      <c r="K915" s="13"/>
    </row>
    <row r="916" customFormat="false" ht="15" hidden="false" customHeight="false" outlineLevel="0" collapsed="false">
      <c r="A916" s="12"/>
      <c r="B916" s="13"/>
      <c r="C916" s="13"/>
      <c r="D916" s="13"/>
      <c r="E916" s="7" t="str">
        <f aca="false">IF(D916="","",IFERROR(INDEX(Materiali!$B:$B,MATCH(D916,Materiali!$A:$A,0)),"codice?"))</f>
        <v/>
      </c>
      <c r="F916" s="13"/>
      <c r="G916" s="13"/>
      <c r="H916" s="9" t="str">
        <f aca="false">IF(D916="","",IFERROR(INDEX(Materiali!$C:$C,MATCH(D916,Materiali!$A:$A,0)),0))</f>
        <v/>
      </c>
      <c r="I916" s="9" t="str">
        <f aca="false">IF(OR(G916="",H916=""),"",IF(F916="Uscita",-1,1)*G916*H916)</f>
        <v/>
      </c>
      <c r="J916" s="13"/>
      <c r="K916" s="13"/>
    </row>
    <row r="917" customFormat="false" ht="15" hidden="false" customHeight="false" outlineLevel="0" collapsed="false">
      <c r="A917" s="12"/>
      <c r="B917" s="13"/>
      <c r="C917" s="13"/>
      <c r="D917" s="13"/>
      <c r="E917" s="7" t="str">
        <f aca="false">IF(D917="","",IFERROR(INDEX(Materiali!$B:$B,MATCH(D917,Materiali!$A:$A,0)),"codice?"))</f>
        <v/>
      </c>
      <c r="F917" s="13"/>
      <c r="G917" s="13"/>
      <c r="H917" s="9" t="str">
        <f aca="false">IF(D917="","",IFERROR(INDEX(Materiali!$C:$C,MATCH(D917,Materiali!$A:$A,0)),0))</f>
        <v/>
      </c>
      <c r="I917" s="9" t="str">
        <f aca="false">IF(OR(G917="",H917=""),"",IF(F917="Uscita",-1,1)*G917*H917)</f>
        <v/>
      </c>
      <c r="J917" s="13"/>
      <c r="K917" s="13"/>
    </row>
    <row r="918" customFormat="false" ht="15" hidden="false" customHeight="false" outlineLevel="0" collapsed="false">
      <c r="A918" s="12"/>
      <c r="B918" s="13"/>
      <c r="C918" s="13"/>
      <c r="D918" s="13"/>
      <c r="E918" s="7" t="str">
        <f aca="false">IF(D918="","",IFERROR(INDEX(Materiali!$B:$B,MATCH(D918,Materiali!$A:$A,0)),"codice?"))</f>
        <v/>
      </c>
      <c r="F918" s="13"/>
      <c r="G918" s="13"/>
      <c r="H918" s="9" t="str">
        <f aca="false">IF(D918="","",IFERROR(INDEX(Materiali!$C:$C,MATCH(D918,Materiali!$A:$A,0)),0))</f>
        <v/>
      </c>
      <c r="I918" s="9" t="str">
        <f aca="false">IF(OR(G918="",H918=""),"",IF(F918="Uscita",-1,1)*G918*H918)</f>
        <v/>
      </c>
      <c r="J918" s="13"/>
      <c r="K918" s="13"/>
    </row>
    <row r="919" customFormat="false" ht="15" hidden="false" customHeight="false" outlineLevel="0" collapsed="false">
      <c r="A919" s="12"/>
      <c r="B919" s="13"/>
      <c r="C919" s="13"/>
      <c r="D919" s="13"/>
      <c r="E919" s="7" t="str">
        <f aca="false">IF(D919="","",IFERROR(INDEX(Materiali!$B:$B,MATCH(D919,Materiali!$A:$A,0)),"codice?"))</f>
        <v/>
      </c>
      <c r="F919" s="13"/>
      <c r="G919" s="13"/>
      <c r="H919" s="9" t="str">
        <f aca="false">IF(D919="","",IFERROR(INDEX(Materiali!$C:$C,MATCH(D919,Materiali!$A:$A,0)),0))</f>
        <v/>
      </c>
      <c r="I919" s="9" t="str">
        <f aca="false">IF(OR(G919="",H919=""),"",IF(F919="Uscita",-1,1)*G919*H919)</f>
        <v/>
      </c>
      <c r="J919" s="13"/>
      <c r="K919" s="13"/>
    </row>
    <row r="920" customFormat="false" ht="15" hidden="false" customHeight="false" outlineLevel="0" collapsed="false">
      <c r="A920" s="12"/>
      <c r="B920" s="13"/>
      <c r="C920" s="13"/>
      <c r="D920" s="13"/>
      <c r="E920" s="7" t="str">
        <f aca="false">IF(D920="","",IFERROR(INDEX(Materiali!$B:$B,MATCH(D920,Materiali!$A:$A,0)),"codice?"))</f>
        <v/>
      </c>
      <c r="F920" s="13"/>
      <c r="G920" s="13"/>
      <c r="H920" s="9" t="str">
        <f aca="false">IF(D920="","",IFERROR(INDEX(Materiali!$C:$C,MATCH(D920,Materiali!$A:$A,0)),0))</f>
        <v/>
      </c>
      <c r="I920" s="9" t="str">
        <f aca="false">IF(OR(G920="",H920=""),"",IF(F920="Uscita",-1,1)*G920*H920)</f>
        <v/>
      </c>
      <c r="J920" s="13"/>
      <c r="K920" s="13"/>
    </row>
    <row r="921" customFormat="false" ht="15" hidden="false" customHeight="false" outlineLevel="0" collapsed="false">
      <c r="A921" s="12"/>
      <c r="B921" s="13"/>
      <c r="C921" s="13"/>
      <c r="D921" s="13"/>
      <c r="E921" s="7" t="str">
        <f aca="false">IF(D921="","",IFERROR(INDEX(Materiali!$B:$B,MATCH(D921,Materiali!$A:$A,0)),"codice?"))</f>
        <v/>
      </c>
      <c r="F921" s="13"/>
      <c r="G921" s="13"/>
      <c r="H921" s="9" t="str">
        <f aca="false">IF(D921="","",IFERROR(INDEX(Materiali!$C:$C,MATCH(D921,Materiali!$A:$A,0)),0))</f>
        <v/>
      </c>
      <c r="I921" s="9" t="str">
        <f aca="false">IF(OR(G921="",H921=""),"",IF(F921="Uscita",-1,1)*G921*H921)</f>
        <v/>
      </c>
      <c r="J921" s="13"/>
      <c r="K921" s="13"/>
    </row>
    <row r="922" customFormat="false" ht="15" hidden="false" customHeight="false" outlineLevel="0" collapsed="false">
      <c r="A922" s="12"/>
      <c r="B922" s="13"/>
      <c r="C922" s="13"/>
      <c r="D922" s="13"/>
      <c r="E922" s="7" t="str">
        <f aca="false">IF(D922="","",IFERROR(INDEX(Materiali!$B:$B,MATCH(D922,Materiali!$A:$A,0)),"codice?"))</f>
        <v/>
      </c>
      <c r="F922" s="13"/>
      <c r="G922" s="13"/>
      <c r="H922" s="9" t="str">
        <f aca="false">IF(D922="","",IFERROR(INDEX(Materiali!$C:$C,MATCH(D922,Materiali!$A:$A,0)),0))</f>
        <v/>
      </c>
      <c r="I922" s="9" t="str">
        <f aca="false">IF(OR(G922="",H922=""),"",IF(F922="Uscita",-1,1)*G922*H922)</f>
        <v/>
      </c>
      <c r="J922" s="13"/>
      <c r="K922" s="13"/>
    </row>
    <row r="923" customFormat="false" ht="15" hidden="false" customHeight="false" outlineLevel="0" collapsed="false">
      <c r="A923" s="12"/>
      <c r="B923" s="13"/>
      <c r="C923" s="13"/>
      <c r="D923" s="13"/>
      <c r="E923" s="7" t="str">
        <f aca="false">IF(D923="","",IFERROR(INDEX(Materiali!$B:$B,MATCH(D923,Materiali!$A:$A,0)),"codice?"))</f>
        <v/>
      </c>
      <c r="F923" s="13"/>
      <c r="G923" s="13"/>
      <c r="H923" s="9" t="str">
        <f aca="false">IF(D923="","",IFERROR(INDEX(Materiali!$C:$C,MATCH(D923,Materiali!$A:$A,0)),0))</f>
        <v/>
      </c>
      <c r="I923" s="9" t="str">
        <f aca="false">IF(OR(G923="",H923=""),"",IF(F923="Uscita",-1,1)*G923*H923)</f>
        <v/>
      </c>
      <c r="J923" s="13"/>
      <c r="K923" s="13"/>
    </row>
    <row r="924" customFormat="false" ht="15" hidden="false" customHeight="false" outlineLevel="0" collapsed="false">
      <c r="A924" s="12"/>
      <c r="B924" s="13"/>
      <c r="C924" s="13"/>
      <c r="D924" s="13"/>
      <c r="E924" s="7" t="str">
        <f aca="false">IF(D924="","",IFERROR(INDEX(Materiali!$B:$B,MATCH(D924,Materiali!$A:$A,0)),"codice?"))</f>
        <v/>
      </c>
      <c r="F924" s="13"/>
      <c r="G924" s="13"/>
      <c r="H924" s="9" t="str">
        <f aca="false">IF(D924="","",IFERROR(INDEX(Materiali!$C:$C,MATCH(D924,Materiali!$A:$A,0)),0))</f>
        <v/>
      </c>
      <c r="I924" s="9" t="str">
        <f aca="false">IF(OR(G924="",H924=""),"",IF(F924="Uscita",-1,1)*G924*H924)</f>
        <v/>
      </c>
      <c r="J924" s="13"/>
      <c r="K924" s="13"/>
    </row>
    <row r="925" customFormat="false" ht="15" hidden="false" customHeight="false" outlineLevel="0" collapsed="false">
      <c r="A925" s="12"/>
      <c r="B925" s="13"/>
      <c r="C925" s="13"/>
      <c r="D925" s="13"/>
      <c r="E925" s="7" t="str">
        <f aca="false">IF(D925="","",IFERROR(INDEX(Materiali!$B:$B,MATCH(D925,Materiali!$A:$A,0)),"codice?"))</f>
        <v/>
      </c>
      <c r="F925" s="13"/>
      <c r="G925" s="13"/>
      <c r="H925" s="9" t="str">
        <f aca="false">IF(D925="","",IFERROR(INDEX(Materiali!$C:$C,MATCH(D925,Materiali!$A:$A,0)),0))</f>
        <v/>
      </c>
      <c r="I925" s="9" t="str">
        <f aca="false">IF(OR(G925="",H925=""),"",IF(F925="Uscita",-1,1)*G925*H925)</f>
        <v/>
      </c>
      <c r="J925" s="13"/>
      <c r="K925" s="13"/>
    </row>
    <row r="926" customFormat="false" ht="15" hidden="false" customHeight="false" outlineLevel="0" collapsed="false">
      <c r="A926" s="12"/>
      <c r="B926" s="13"/>
      <c r="C926" s="13"/>
      <c r="D926" s="13"/>
      <c r="E926" s="7" t="str">
        <f aca="false">IF(D926="","",IFERROR(INDEX(Materiali!$B:$B,MATCH(D926,Materiali!$A:$A,0)),"codice?"))</f>
        <v/>
      </c>
      <c r="F926" s="13"/>
      <c r="G926" s="13"/>
      <c r="H926" s="9" t="str">
        <f aca="false">IF(D926="","",IFERROR(INDEX(Materiali!$C:$C,MATCH(D926,Materiali!$A:$A,0)),0))</f>
        <v/>
      </c>
      <c r="I926" s="9" t="str">
        <f aca="false">IF(OR(G926="",H926=""),"",IF(F926="Uscita",-1,1)*G926*H926)</f>
        <v/>
      </c>
      <c r="J926" s="13"/>
      <c r="K926" s="13"/>
    </row>
    <row r="927" customFormat="false" ht="15" hidden="false" customHeight="false" outlineLevel="0" collapsed="false">
      <c r="A927" s="12"/>
      <c r="B927" s="13"/>
      <c r="C927" s="13"/>
      <c r="D927" s="13"/>
      <c r="E927" s="7" t="str">
        <f aca="false">IF(D927="","",IFERROR(INDEX(Materiali!$B:$B,MATCH(D927,Materiali!$A:$A,0)),"codice?"))</f>
        <v/>
      </c>
      <c r="F927" s="13"/>
      <c r="G927" s="13"/>
      <c r="H927" s="9" t="str">
        <f aca="false">IF(D927="","",IFERROR(INDEX(Materiali!$C:$C,MATCH(D927,Materiali!$A:$A,0)),0))</f>
        <v/>
      </c>
      <c r="I927" s="9" t="str">
        <f aca="false">IF(OR(G927="",H927=""),"",IF(F927="Uscita",-1,1)*G927*H927)</f>
        <v/>
      </c>
      <c r="J927" s="13"/>
      <c r="K927" s="13"/>
    </row>
    <row r="928" customFormat="false" ht="15" hidden="false" customHeight="false" outlineLevel="0" collapsed="false">
      <c r="A928" s="12"/>
      <c r="B928" s="13"/>
      <c r="C928" s="13"/>
      <c r="D928" s="13"/>
      <c r="E928" s="7" t="str">
        <f aca="false">IF(D928="","",IFERROR(INDEX(Materiali!$B:$B,MATCH(D928,Materiali!$A:$A,0)),"codice?"))</f>
        <v/>
      </c>
      <c r="F928" s="13"/>
      <c r="G928" s="13"/>
      <c r="H928" s="9" t="str">
        <f aca="false">IF(D928="","",IFERROR(INDEX(Materiali!$C:$C,MATCH(D928,Materiali!$A:$A,0)),0))</f>
        <v/>
      </c>
      <c r="I928" s="9" t="str">
        <f aca="false">IF(OR(G928="",H928=""),"",IF(F928="Uscita",-1,1)*G928*H928)</f>
        <v/>
      </c>
      <c r="J928" s="13"/>
      <c r="K928" s="13"/>
    </row>
    <row r="929" customFormat="false" ht="15" hidden="false" customHeight="false" outlineLevel="0" collapsed="false">
      <c r="A929" s="12"/>
      <c r="B929" s="13"/>
      <c r="C929" s="13"/>
      <c r="D929" s="13"/>
      <c r="E929" s="7" t="str">
        <f aca="false">IF(D929="","",IFERROR(INDEX(Materiali!$B:$B,MATCH(D929,Materiali!$A:$A,0)),"codice?"))</f>
        <v/>
      </c>
      <c r="F929" s="13"/>
      <c r="G929" s="13"/>
      <c r="H929" s="9" t="str">
        <f aca="false">IF(D929="","",IFERROR(INDEX(Materiali!$C:$C,MATCH(D929,Materiali!$A:$A,0)),0))</f>
        <v/>
      </c>
      <c r="I929" s="9" t="str">
        <f aca="false">IF(OR(G929="",H929=""),"",IF(F929="Uscita",-1,1)*G929*H929)</f>
        <v/>
      </c>
      <c r="J929" s="13"/>
      <c r="K929" s="13"/>
    </row>
    <row r="930" customFormat="false" ht="15" hidden="false" customHeight="false" outlineLevel="0" collapsed="false">
      <c r="A930" s="12"/>
      <c r="B930" s="13"/>
      <c r="C930" s="13"/>
      <c r="D930" s="13"/>
      <c r="E930" s="7" t="str">
        <f aca="false">IF(D930="","",IFERROR(INDEX(Materiali!$B:$B,MATCH(D930,Materiali!$A:$A,0)),"codice?"))</f>
        <v/>
      </c>
      <c r="F930" s="13"/>
      <c r="G930" s="13"/>
      <c r="H930" s="9" t="str">
        <f aca="false">IF(D930="","",IFERROR(INDEX(Materiali!$C:$C,MATCH(D930,Materiali!$A:$A,0)),0))</f>
        <v/>
      </c>
      <c r="I930" s="9" t="str">
        <f aca="false">IF(OR(G930="",H930=""),"",IF(F930="Uscita",-1,1)*G930*H930)</f>
        <v/>
      </c>
      <c r="J930" s="13"/>
      <c r="K930" s="13"/>
    </row>
    <row r="931" customFormat="false" ht="15" hidden="false" customHeight="false" outlineLevel="0" collapsed="false">
      <c r="A931" s="12"/>
      <c r="B931" s="13"/>
      <c r="C931" s="13"/>
      <c r="D931" s="13"/>
      <c r="E931" s="7" t="str">
        <f aca="false">IF(D931="","",IFERROR(INDEX(Materiali!$B:$B,MATCH(D931,Materiali!$A:$A,0)),"codice?"))</f>
        <v/>
      </c>
      <c r="F931" s="13"/>
      <c r="G931" s="13"/>
      <c r="H931" s="9" t="str">
        <f aca="false">IF(D931="","",IFERROR(INDEX(Materiali!$C:$C,MATCH(D931,Materiali!$A:$A,0)),0))</f>
        <v/>
      </c>
      <c r="I931" s="9" t="str">
        <f aca="false">IF(OR(G931="",H931=""),"",IF(F931="Uscita",-1,1)*G931*H931)</f>
        <v/>
      </c>
      <c r="J931" s="13"/>
      <c r="K931" s="13"/>
    </row>
    <row r="932" customFormat="false" ht="15" hidden="false" customHeight="false" outlineLevel="0" collapsed="false">
      <c r="A932" s="12"/>
      <c r="B932" s="13"/>
      <c r="C932" s="13"/>
      <c r="D932" s="13"/>
      <c r="E932" s="7" t="str">
        <f aca="false">IF(D932="","",IFERROR(INDEX(Materiali!$B:$B,MATCH(D932,Materiali!$A:$A,0)),"codice?"))</f>
        <v/>
      </c>
      <c r="F932" s="13"/>
      <c r="G932" s="13"/>
      <c r="H932" s="9" t="str">
        <f aca="false">IF(D932="","",IFERROR(INDEX(Materiali!$C:$C,MATCH(D932,Materiali!$A:$A,0)),0))</f>
        <v/>
      </c>
      <c r="I932" s="9" t="str">
        <f aca="false">IF(OR(G932="",H932=""),"",IF(F932="Uscita",-1,1)*G932*H932)</f>
        <v/>
      </c>
      <c r="J932" s="13"/>
      <c r="K932" s="13"/>
    </row>
    <row r="933" customFormat="false" ht="15" hidden="false" customHeight="false" outlineLevel="0" collapsed="false">
      <c r="A933" s="12"/>
      <c r="B933" s="13"/>
      <c r="C933" s="13"/>
      <c r="D933" s="13"/>
      <c r="E933" s="7" t="str">
        <f aca="false">IF(D933="","",IFERROR(INDEX(Materiali!$B:$B,MATCH(D933,Materiali!$A:$A,0)),"codice?"))</f>
        <v/>
      </c>
      <c r="F933" s="13"/>
      <c r="G933" s="13"/>
      <c r="H933" s="9" t="str">
        <f aca="false">IF(D933="","",IFERROR(INDEX(Materiali!$C:$C,MATCH(D933,Materiali!$A:$A,0)),0))</f>
        <v/>
      </c>
      <c r="I933" s="9" t="str">
        <f aca="false">IF(OR(G933="",H933=""),"",IF(F933="Uscita",-1,1)*G933*H933)</f>
        <v/>
      </c>
      <c r="J933" s="13"/>
      <c r="K933" s="13"/>
    </row>
    <row r="934" customFormat="false" ht="15" hidden="false" customHeight="false" outlineLevel="0" collapsed="false">
      <c r="A934" s="12"/>
      <c r="B934" s="13"/>
      <c r="C934" s="13"/>
      <c r="D934" s="13"/>
      <c r="E934" s="7" t="str">
        <f aca="false">IF(D934="","",IFERROR(INDEX(Materiali!$B:$B,MATCH(D934,Materiali!$A:$A,0)),"codice?"))</f>
        <v/>
      </c>
      <c r="F934" s="13"/>
      <c r="G934" s="13"/>
      <c r="H934" s="9" t="str">
        <f aca="false">IF(D934="","",IFERROR(INDEX(Materiali!$C:$C,MATCH(D934,Materiali!$A:$A,0)),0))</f>
        <v/>
      </c>
      <c r="I934" s="9" t="str">
        <f aca="false">IF(OR(G934="",H934=""),"",IF(F934="Uscita",-1,1)*G934*H934)</f>
        <v/>
      </c>
      <c r="J934" s="13"/>
      <c r="K934" s="13"/>
    </row>
    <row r="935" customFormat="false" ht="15" hidden="false" customHeight="false" outlineLevel="0" collapsed="false">
      <c r="A935" s="12"/>
      <c r="B935" s="13"/>
      <c r="C935" s="13"/>
      <c r="D935" s="13"/>
      <c r="E935" s="7" t="str">
        <f aca="false">IF(D935="","",IFERROR(INDEX(Materiali!$B:$B,MATCH(D935,Materiali!$A:$A,0)),"codice?"))</f>
        <v/>
      </c>
      <c r="F935" s="13"/>
      <c r="G935" s="13"/>
      <c r="H935" s="9" t="str">
        <f aca="false">IF(D935="","",IFERROR(INDEX(Materiali!$C:$C,MATCH(D935,Materiali!$A:$A,0)),0))</f>
        <v/>
      </c>
      <c r="I935" s="9" t="str">
        <f aca="false">IF(OR(G935="",H935=""),"",IF(F935="Uscita",-1,1)*G935*H935)</f>
        <v/>
      </c>
      <c r="J935" s="13"/>
      <c r="K935" s="13"/>
    </row>
    <row r="936" customFormat="false" ht="15" hidden="false" customHeight="false" outlineLevel="0" collapsed="false">
      <c r="A936" s="12"/>
      <c r="B936" s="13"/>
      <c r="C936" s="13"/>
      <c r="D936" s="13"/>
      <c r="E936" s="7" t="str">
        <f aca="false">IF(D936="","",IFERROR(INDEX(Materiali!$B:$B,MATCH(D936,Materiali!$A:$A,0)),"codice?"))</f>
        <v/>
      </c>
      <c r="F936" s="13"/>
      <c r="G936" s="13"/>
      <c r="H936" s="9" t="str">
        <f aca="false">IF(D936="","",IFERROR(INDEX(Materiali!$C:$C,MATCH(D936,Materiali!$A:$A,0)),0))</f>
        <v/>
      </c>
      <c r="I936" s="9" t="str">
        <f aca="false">IF(OR(G936="",H936=""),"",IF(F936="Uscita",-1,1)*G936*H936)</f>
        <v/>
      </c>
      <c r="J936" s="13"/>
      <c r="K936" s="13"/>
    </row>
    <row r="937" customFormat="false" ht="15" hidden="false" customHeight="false" outlineLevel="0" collapsed="false">
      <c r="A937" s="12"/>
      <c r="B937" s="13"/>
      <c r="C937" s="13"/>
      <c r="D937" s="13"/>
      <c r="E937" s="7" t="str">
        <f aca="false">IF(D937="","",IFERROR(INDEX(Materiali!$B:$B,MATCH(D937,Materiali!$A:$A,0)),"codice?"))</f>
        <v/>
      </c>
      <c r="F937" s="13"/>
      <c r="G937" s="13"/>
      <c r="H937" s="9" t="str">
        <f aca="false">IF(D937="","",IFERROR(INDEX(Materiali!$C:$C,MATCH(D937,Materiali!$A:$A,0)),0))</f>
        <v/>
      </c>
      <c r="I937" s="9" t="str">
        <f aca="false">IF(OR(G937="",H937=""),"",IF(F937="Uscita",-1,1)*G937*H937)</f>
        <v/>
      </c>
      <c r="J937" s="13"/>
      <c r="K937" s="13"/>
    </row>
    <row r="938" customFormat="false" ht="15" hidden="false" customHeight="false" outlineLevel="0" collapsed="false">
      <c r="A938" s="12"/>
      <c r="B938" s="13"/>
      <c r="C938" s="13"/>
      <c r="D938" s="13"/>
      <c r="E938" s="7" t="str">
        <f aca="false">IF(D938="","",IFERROR(INDEX(Materiali!$B:$B,MATCH(D938,Materiali!$A:$A,0)),"codice?"))</f>
        <v/>
      </c>
      <c r="F938" s="13"/>
      <c r="G938" s="13"/>
      <c r="H938" s="9" t="str">
        <f aca="false">IF(D938="","",IFERROR(INDEX(Materiali!$C:$C,MATCH(D938,Materiali!$A:$A,0)),0))</f>
        <v/>
      </c>
      <c r="I938" s="9" t="str">
        <f aca="false">IF(OR(G938="",H938=""),"",IF(F938="Uscita",-1,1)*G938*H938)</f>
        <v/>
      </c>
      <c r="J938" s="13"/>
      <c r="K938" s="13"/>
    </row>
    <row r="939" customFormat="false" ht="15" hidden="false" customHeight="false" outlineLevel="0" collapsed="false">
      <c r="A939" s="12"/>
      <c r="B939" s="13"/>
      <c r="C939" s="13"/>
      <c r="D939" s="13"/>
      <c r="E939" s="7" t="str">
        <f aca="false">IF(D939="","",IFERROR(INDEX(Materiali!$B:$B,MATCH(D939,Materiali!$A:$A,0)),"codice?"))</f>
        <v/>
      </c>
      <c r="F939" s="13"/>
      <c r="G939" s="13"/>
      <c r="H939" s="9" t="str">
        <f aca="false">IF(D939="","",IFERROR(INDEX(Materiali!$C:$C,MATCH(D939,Materiali!$A:$A,0)),0))</f>
        <v/>
      </c>
      <c r="I939" s="9" t="str">
        <f aca="false">IF(OR(G939="",H939=""),"",IF(F939="Uscita",-1,1)*G939*H939)</f>
        <v/>
      </c>
      <c r="J939" s="13"/>
      <c r="K939" s="13"/>
    </row>
    <row r="940" customFormat="false" ht="15" hidden="false" customHeight="false" outlineLevel="0" collapsed="false">
      <c r="A940" s="12"/>
      <c r="B940" s="13"/>
      <c r="C940" s="13"/>
      <c r="D940" s="13"/>
      <c r="E940" s="7" t="str">
        <f aca="false">IF(D940="","",IFERROR(INDEX(Materiali!$B:$B,MATCH(D940,Materiali!$A:$A,0)),"codice?"))</f>
        <v/>
      </c>
      <c r="F940" s="13"/>
      <c r="G940" s="13"/>
      <c r="H940" s="9" t="str">
        <f aca="false">IF(D940="","",IFERROR(INDEX(Materiali!$C:$C,MATCH(D940,Materiali!$A:$A,0)),0))</f>
        <v/>
      </c>
      <c r="I940" s="9" t="str">
        <f aca="false">IF(OR(G940="",H940=""),"",IF(F940="Uscita",-1,1)*G940*H940)</f>
        <v/>
      </c>
      <c r="J940" s="13"/>
      <c r="K940" s="13"/>
    </row>
    <row r="941" customFormat="false" ht="15" hidden="false" customHeight="false" outlineLevel="0" collapsed="false">
      <c r="A941" s="12"/>
      <c r="B941" s="13"/>
      <c r="C941" s="13"/>
      <c r="D941" s="13"/>
      <c r="E941" s="7" t="str">
        <f aca="false">IF(D941="","",IFERROR(INDEX(Materiali!$B:$B,MATCH(D941,Materiali!$A:$A,0)),"codice?"))</f>
        <v/>
      </c>
      <c r="F941" s="13"/>
      <c r="G941" s="13"/>
      <c r="H941" s="9" t="str">
        <f aca="false">IF(D941="","",IFERROR(INDEX(Materiali!$C:$C,MATCH(D941,Materiali!$A:$A,0)),0))</f>
        <v/>
      </c>
      <c r="I941" s="9" t="str">
        <f aca="false">IF(OR(G941="",H941=""),"",IF(F941="Uscita",-1,1)*G941*H941)</f>
        <v/>
      </c>
      <c r="J941" s="13"/>
      <c r="K941" s="13"/>
    </row>
    <row r="942" customFormat="false" ht="15" hidden="false" customHeight="false" outlineLevel="0" collapsed="false">
      <c r="A942" s="12"/>
      <c r="B942" s="13"/>
      <c r="C942" s="13"/>
      <c r="D942" s="13"/>
      <c r="E942" s="7" t="str">
        <f aca="false">IF(D942="","",IFERROR(INDEX(Materiali!$B:$B,MATCH(D942,Materiali!$A:$A,0)),"codice?"))</f>
        <v/>
      </c>
      <c r="F942" s="13"/>
      <c r="G942" s="13"/>
      <c r="H942" s="9" t="str">
        <f aca="false">IF(D942="","",IFERROR(INDEX(Materiali!$C:$C,MATCH(D942,Materiali!$A:$A,0)),0))</f>
        <v/>
      </c>
      <c r="I942" s="9" t="str">
        <f aca="false">IF(OR(G942="",H942=""),"",IF(F942="Uscita",-1,1)*G942*H942)</f>
        <v/>
      </c>
      <c r="J942" s="13"/>
      <c r="K942" s="13"/>
    </row>
    <row r="943" customFormat="false" ht="15" hidden="false" customHeight="false" outlineLevel="0" collapsed="false">
      <c r="A943" s="12"/>
      <c r="B943" s="13"/>
      <c r="C943" s="13"/>
      <c r="D943" s="13"/>
      <c r="E943" s="7" t="str">
        <f aca="false">IF(D943="","",IFERROR(INDEX(Materiali!$B:$B,MATCH(D943,Materiali!$A:$A,0)),"codice?"))</f>
        <v/>
      </c>
      <c r="F943" s="13"/>
      <c r="G943" s="13"/>
      <c r="H943" s="9" t="str">
        <f aca="false">IF(D943="","",IFERROR(INDEX(Materiali!$C:$C,MATCH(D943,Materiali!$A:$A,0)),0))</f>
        <v/>
      </c>
      <c r="I943" s="9" t="str">
        <f aca="false">IF(OR(G943="",H943=""),"",IF(F943="Uscita",-1,1)*G943*H943)</f>
        <v/>
      </c>
      <c r="J943" s="13"/>
      <c r="K943" s="13"/>
    </row>
    <row r="944" customFormat="false" ht="15" hidden="false" customHeight="false" outlineLevel="0" collapsed="false">
      <c r="A944" s="12"/>
      <c r="B944" s="13"/>
      <c r="C944" s="13"/>
      <c r="D944" s="13"/>
      <c r="E944" s="7" t="str">
        <f aca="false">IF(D944="","",IFERROR(INDEX(Materiali!$B:$B,MATCH(D944,Materiali!$A:$A,0)),"codice?"))</f>
        <v/>
      </c>
      <c r="F944" s="13"/>
      <c r="G944" s="13"/>
      <c r="H944" s="9" t="str">
        <f aca="false">IF(D944="","",IFERROR(INDEX(Materiali!$C:$C,MATCH(D944,Materiali!$A:$A,0)),0))</f>
        <v/>
      </c>
      <c r="I944" s="9" t="str">
        <f aca="false">IF(OR(G944="",H944=""),"",IF(F944="Uscita",-1,1)*G944*H944)</f>
        <v/>
      </c>
      <c r="J944" s="13"/>
      <c r="K944" s="13"/>
    </row>
    <row r="945" customFormat="false" ht="15" hidden="false" customHeight="false" outlineLevel="0" collapsed="false">
      <c r="A945" s="12"/>
      <c r="B945" s="13"/>
      <c r="C945" s="13"/>
      <c r="D945" s="13"/>
      <c r="E945" s="7" t="str">
        <f aca="false">IF(D945="","",IFERROR(INDEX(Materiali!$B:$B,MATCH(D945,Materiali!$A:$A,0)),"codice?"))</f>
        <v/>
      </c>
      <c r="F945" s="13"/>
      <c r="G945" s="13"/>
      <c r="H945" s="9" t="str">
        <f aca="false">IF(D945="","",IFERROR(INDEX(Materiali!$C:$C,MATCH(D945,Materiali!$A:$A,0)),0))</f>
        <v/>
      </c>
      <c r="I945" s="9" t="str">
        <f aca="false">IF(OR(G945="",H945=""),"",IF(F945="Uscita",-1,1)*G945*H945)</f>
        <v/>
      </c>
      <c r="J945" s="13"/>
      <c r="K945" s="13"/>
    </row>
    <row r="946" customFormat="false" ht="15" hidden="false" customHeight="false" outlineLevel="0" collapsed="false">
      <c r="A946" s="12"/>
      <c r="B946" s="13"/>
      <c r="C946" s="13"/>
      <c r="D946" s="13"/>
      <c r="E946" s="7" t="str">
        <f aca="false">IF(D946="","",IFERROR(INDEX(Materiali!$B:$B,MATCH(D946,Materiali!$A:$A,0)),"codice?"))</f>
        <v/>
      </c>
      <c r="F946" s="13"/>
      <c r="G946" s="13"/>
      <c r="H946" s="9" t="str">
        <f aca="false">IF(D946="","",IFERROR(INDEX(Materiali!$C:$C,MATCH(D946,Materiali!$A:$A,0)),0))</f>
        <v/>
      </c>
      <c r="I946" s="9" t="str">
        <f aca="false">IF(OR(G946="",H946=""),"",IF(F946="Uscita",-1,1)*G946*H946)</f>
        <v/>
      </c>
      <c r="J946" s="13"/>
      <c r="K946" s="13"/>
    </row>
    <row r="947" customFormat="false" ht="15" hidden="false" customHeight="false" outlineLevel="0" collapsed="false">
      <c r="A947" s="12"/>
      <c r="B947" s="13"/>
      <c r="C947" s="13"/>
      <c r="D947" s="13"/>
      <c r="E947" s="7" t="str">
        <f aca="false">IF(D947="","",IFERROR(INDEX(Materiali!$B:$B,MATCH(D947,Materiali!$A:$A,0)),"codice?"))</f>
        <v/>
      </c>
      <c r="F947" s="13"/>
      <c r="G947" s="13"/>
      <c r="H947" s="9" t="str">
        <f aca="false">IF(D947="","",IFERROR(INDEX(Materiali!$C:$C,MATCH(D947,Materiali!$A:$A,0)),0))</f>
        <v/>
      </c>
      <c r="I947" s="9" t="str">
        <f aca="false">IF(OR(G947="",H947=""),"",IF(F947="Uscita",-1,1)*G947*H947)</f>
        <v/>
      </c>
      <c r="J947" s="13"/>
      <c r="K947" s="13"/>
    </row>
    <row r="948" customFormat="false" ht="15" hidden="false" customHeight="false" outlineLevel="0" collapsed="false">
      <c r="A948" s="12"/>
      <c r="B948" s="13"/>
      <c r="C948" s="13"/>
      <c r="D948" s="13"/>
      <c r="E948" s="7" t="str">
        <f aca="false">IF(D948="","",IFERROR(INDEX(Materiali!$B:$B,MATCH(D948,Materiali!$A:$A,0)),"codice?"))</f>
        <v/>
      </c>
      <c r="F948" s="13"/>
      <c r="G948" s="13"/>
      <c r="H948" s="9" t="str">
        <f aca="false">IF(D948="","",IFERROR(INDEX(Materiali!$C:$C,MATCH(D948,Materiali!$A:$A,0)),0))</f>
        <v/>
      </c>
      <c r="I948" s="9" t="str">
        <f aca="false">IF(OR(G948="",H948=""),"",IF(F948="Uscita",-1,1)*G948*H948)</f>
        <v/>
      </c>
      <c r="J948" s="13"/>
      <c r="K948" s="13"/>
    </row>
    <row r="949" customFormat="false" ht="15" hidden="false" customHeight="false" outlineLevel="0" collapsed="false">
      <c r="A949" s="12"/>
      <c r="B949" s="13"/>
      <c r="C949" s="13"/>
      <c r="D949" s="13"/>
      <c r="E949" s="7" t="str">
        <f aca="false">IF(D949="","",IFERROR(INDEX(Materiali!$B:$B,MATCH(D949,Materiali!$A:$A,0)),"codice?"))</f>
        <v/>
      </c>
      <c r="F949" s="13"/>
      <c r="G949" s="13"/>
      <c r="H949" s="9" t="str">
        <f aca="false">IF(D949="","",IFERROR(INDEX(Materiali!$C:$C,MATCH(D949,Materiali!$A:$A,0)),0))</f>
        <v/>
      </c>
      <c r="I949" s="9" t="str">
        <f aca="false">IF(OR(G949="",H949=""),"",IF(F949="Uscita",-1,1)*G949*H949)</f>
        <v/>
      </c>
      <c r="J949" s="13"/>
      <c r="K949" s="13"/>
    </row>
    <row r="950" customFormat="false" ht="15" hidden="false" customHeight="false" outlineLevel="0" collapsed="false">
      <c r="A950" s="12"/>
      <c r="B950" s="13"/>
      <c r="C950" s="13"/>
      <c r="D950" s="13"/>
      <c r="E950" s="7" t="str">
        <f aca="false">IF(D950="","",IFERROR(INDEX(Materiali!$B:$B,MATCH(D950,Materiali!$A:$A,0)),"codice?"))</f>
        <v/>
      </c>
      <c r="F950" s="13"/>
      <c r="G950" s="13"/>
      <c r="H950" s="9" t="str">
        <f aca="false">IF(D950="","",IFERROR(INDEX(Materiali!$C:$C,MATCH(D950,Materiali!$A:$A,0)),0))</f>
        <v/>
      </c>
      <c r="I950" s="9" t="str">
        <f aca="false">IF(OR(G950="",H950=""),"",IF(F950="Uscita",-1,1)*G950*H950)</f>
        <v/>
      </c>
      <c r="J950" s="13"/>
      <c r="K950" s="13"/>
    </row>
    <row r="951" customFormat="false" ht="15" hidden="false" customHeight="false" outlineLevel="0" collapsed="false">
      <c r="A951" s="12"/>
      <c r="B951" s="13"/>
      <c r="C951" s="13"/>
      <c r="D951" s="13"/>
      <c r="E951" s="7" t="str">
        <f aca="false">IF(D951="","",IFERROR(INDEX(Materiali!$B:$B,MATCH(D951,Materiali!$A:$A,0)),"codice?"))</f>
        <v/>
      </c>
      <c r="F951" s="13"/>
      <c r="G951" s="13"/>
      <c r="H951" s="9" t="str">
        <f aca="false">IF(D951="","",IFERROR(INDEX(Materiali!$C:$C,MATCH(D951,Materiali!$A:$A,0)),0))</f>
        <v/>
      </c>
      <c r="I951" s="9" t="str">
        <f aca="false">IF(OR(G951="",H951=""),"",IF(F951="Uscita",-1,1)*G951*H951)</f>
        <v/>
      </c>
      <c r="J951" s="13"/>
      <c r="K951" s="13"/>
    </row>
    <row r="952" customFormat="false" ht="15" hidden="false" customHeight="false" outlineLevel="0" collapsed="false">
      <c r="A952" s="12"/>
      <c r="B952" s="13"/>
      <c r="C952" s="13"/>
      <c r="D952" s="13"/>
      <c r="E952" s="7" t="str">
        <f aca="false">IF(D952="","",IFERROR(INDEX(Materiali!$B:$B,MATCH(D952,Materiali!$A:$A,0)),"codice?"))</f>
        <v/>
      </c>
      <c r="F952" s="13"/>
      <c r="G952" s="13"/>
      <c r="H952" s="9" t="str">
        <f aca="false">IF(D952="","",IFERROR(INDEX(Materiali!$C:$C,MATCH(D952,Materiali!$A:$A,0)),0))</f>
        <v/>
      </c>
      <c r="I952" s="9" t="str">
        <f aca="false">IF(OR(G952="",H952=""),"",IF(F952="Uscita",-1,1)*G952*H952)</f>
        <v/>
      </c>
      <c r="J952" s="13"/>
      <c r="K952" s="13"/>
    </row>
    <row r="953" customFormat="false" ht="15" hidden="false" customHeight="false" outlineLevel="0" collapsed="false">
      <c r="A953" s="12"/>
      <c r="B953" s="13"/>
      <c r="C953" s="13"/>
      <c r="D953" s="13"/>
      <c r="E953" s="7" t="str">
        <f aca="false">IF(D953="","",IFERROR(INDEX(Materiali!$B:$B,MATCH(D953,Materiali!$A:$A,0)),"codice?"))</f>
        <v/>
      </c>
      <c r="F953" s="13"/>
      <c r="G953" s="13"/>
      <c r="H953" s="9" t="str">
        <f aca="false">IF(D953="","",IFERROR(INDEX(Materiali!$C:$C,MATCH(D953,Materiali!$A:$A,0)),0))</f>
        <v/>
      </c>
      <c r="I953" s="9" t="str">
        <f aca="false">IF(OR(G953="",H953=""),"",IF(F953="Uscita",-1,1)*G953*H953)</f>
        <v/>
      </c>
      <c r="J953" s="13"/>
      <c r="K953" s="13"/>
    </row>
    <row r="954" customFormat="false" ht="15" hidden="false" customHeight="false" outlineLevel="0" collapsed="false">
      <c r="A954" s="12"/>
      <c r="B954" s="13"/>
      <c r="C954" s="13"/>
      <c r="D954" s="13"/>
      <c r="E954" s="7" t="str">
        <f aca="false">IF(D954="","",IFERROR(INDEX(Materiali!$B:$B,MATCH(D954,Materiali!$A:$A,0)),"codice?"))</f>
        <v/>
      </c>
      <c r="F954" s="13"/>
      <c r="G954" s="13"/>
      <c r="H954" s="9" t="str">
        <f aca="false">IF(D954="","",IFERROR(INDEX(Materiali!$C:$C,MATCH(D954,Materiali!$A:$A,0)),0))</f>
        <v/>
      </c>
      <c r="I954" s="9" t="str">
        <f aca="false">IF(OR(G954="",H954=""),"",IF(F954="Uscita",-1,1)*G954*H954)</f>
        <v/>
      </c>
      <c r="J954" s="13"/>
      <c r="K954" s="13"/>
    </row>
    <row r="955" customFormat="false" ht="15" hidden="false" customHeight="false" outlineLevel="0" collapsed="false">
      <c r="A955" s="12"/>
      <c r="B955" s="13"/>
      <c r="C955" s="13"/>
      <c r="D955" s="13"/>
      <c r="E955" s="7" t="str">
        <f aca="false">IF(D955="","",IFERROR(INDEX(Materiali!$B:$B,MATCH(D955,Materiali!$A:$A,0)),"codice?"))</f>
        <v/>
      </c>
      <c r="F955" s="13"/>
      <c r="G955" s="13"/>
      <c r="H955" s="9" t="str">
        <f aca="false">IF(D955="","",IFERROR(INDEX(Materiali!$C:$C,MATCH(D955,Materiali!$A:$A,0)),0))</f>
        <v/>
      </c>
      <c r="I955" s="9" t="str">
        <f aca="false">IF(OR(G955="",H955=""),"",IF(F955="Uscita",-1,1)*G955*H955)</f>
        <v/>
      </c>
      <c r="J955" s="13"/>
      <c r="K955" s="13"/>
    </row>
    <row r="956" customFormat="false" ht="15" hidden="false" customHeight="false" outlineLevel="0" collapsed="false">
      <c r="A956" s="12"/>
      <c r="B956" s="13"/>
      <c r="C956" s="13"/>
      <c r="D956" s="13"/>
      <c r="E956" s="7" t="str">
        <f aca="false">IF(D956="","",IFERROR(INDEX(Materiali!$B:$B,MATCH(D956,Materiali!$A:$A,0)),"codice?"))</f>
        <v/>
      </c>
      <c r="F956" s="13"/>
      <c r="G956" s="13"/>
      <c r="H956" s="9" t="str">
        <f aca="false">IF(D956="","",IFERROR(INDEX(Materiali!$C:$C,MATCH(D956,Materiali!$A:$A,0)),0))</f>
        <v/>
      </c>
      <c r="I956" s="9" t="str">
        <f aca="false">IF(OR(G956="",H956=""),"",IF(F956="Uscita",-1,1)*G956*H956)</f>
        <v/>
      </c>
      <c r="J956" s="13"/>
      <c r="K956" s="13"/>
    </row>
    <row r="957" customFormat="false" ht="15" hidden="false" customHeight="false" outlineLevel="0" collapsed="false">
      <c r="A957" s="12"/>
      <c r="B957" s="13"/>
      <c r="C957" s="13"/>
      <c r="D957" s="13"/>
      <c r="E957" s="7" t="str">
        <f aca="false">IF(D957="","",IFERROR(INDEX(Materiali!$B:$B,MATCH(D957,Materiali!$A:$A,0)),"codice?"))</f>
        <v/>
      </c>
      <c r="F957" s="13"/>
      <c r="G957" s="13"/>
      <c r="H957" s="9" t="str">
        <f aca="false">IF(D957="","",IFERROR(INDEX(Materiali!$C:$C,MATCH(D957,Materiali!$A:$A,0)),0))</f>
        <v/>
      </c>
      <c r="I957" s="9" t="str">
        <f aca="false">IF(OR(G957="",H957=""),"",IF(F957="Uscita",-1,1)*G957*H957)</f>
        <v/>
      </c>
      <c r="J957" s="13"/>
      <c r="K957" s="13"/>
    </row>
    <row r="958" customFormat="false" ht="15" hidden="false" customHeight="false" outlineLevel="0" collapsed="false">
      <c r="A958" s="12"/>
      <c r="B958" s="13"/>
      <c r="C958" s="13"/>
      <c r="D958" s="13"/>
      <c r="E958" s="7" t="str">
        <f aca="false">IF(D958="","",IFERROR(INDEX(Materiali!$B:$B,MATCH(D958,Materiali!$A:$A,0)),"codice?"))</f>
        <v/>
      </c>
      <c r="F958" s="13"/>
      <c r="G958" s="13"/>
      <c r="H958" s="9" t="str">
        <f aca="false">IF(D958="","",IFERROR(INDEX(Materiali!$C:$C,MATCH(D958,Materiali!$A:$A,0)),0))</f>
        <v/>
      </c>
      <c r="I958" s="9" t="str">
        <f aca="false">IF(OR(G958="",H958=""),"",IF(F958="Uscita",-1,1)*G958*H958)</f>
        <v/>
      </c>
      <c r="J958" s="13"/>
      <c r="K958" s="13"/>
    </row>
    <row r="959" customFormat="false" ht="15" hidden="false" customHeight="false" outlineLevel="0" collapsed="false">
      <c r="A959" s="12"/>
      <c r="B959" s="13"/>
      <c r="C959" s="13"/>
      <c r="D959" s="13"/>
      <c r="E959" s="7" t="str">
        <f aca="false">IF(D959="","",IFERROR(INDEX(Materiali!$B:$B,MATCH(D959,Materiali!$A:$A,0)),"codice?"))</f>
        <v/>
      </c>
      <c r="F959" s="13"/>
      <c r="G959" s="13"/>
      <c r="H959" s="9" t="str">
        <f aca="false">IF(D959="","",IFERROR(INDEX(Materiali!$C:$C,MATCH(D959,Materiali!$A:$A,0)),0))</f>
        <v/>
      </c>
      <c r="I959" s="9" t="str">
        <f aca="false">IF(OR(G959="",H959=""),"",IF(F959="Uscita",-1,1)*G959*H959)</f>
        <v/>
      </c>
      <c r="J959" s="13"/>
      <c r="K959" s="13"/>
    </row>
    <row r="960" customFormat="false" ht="15" hidden="false" customHeight="false" outlineLevel="0" collapsed="false">
      <c r="A960" s="12"/>
      <c r="B960" s="13"/>
      <c r="C960" s="13"/>
      <c r="D960" s="13"/>
      <c r="E960" s="7" t="str">
        <f aca="false">IF(D960="","",IFERROR(INDEX(Materiali!$B:$B,MATCH(D960,Materiali!$A:$A,0)),"codice?"))</f>
        <v/>
      </c>
      <c r="F960" s="13"/>
      <c r="G960" s="13"/>
      <c r="H960" s="9" t="str">
        <f aca="false">IF(D960="","",IFERROR(INDEX(Materiali!$C:$C,MATCH(D960,Materiali!$A:$A,0)),0))</f>
        <v/>
      </c>
      <c r="I960" s="9" t="str">
        <f aca="false">IF(OR(G960="",H960=""),"",IF(F960="Uscita",-1,1)*G960*H960)</f>
        <v/>
      </c>
      <c r="J960" s="13"/>
      <c r="K960" s="13"/>
    </row>
    <row r="961" customFormat="false" ht="15" hidden="false" customHeight="false" outlineLevel="0" collapsed="false">
      <c r="A961" s="12"/>
      <c r="B961" s="13"/>
      <c r="C961" s="13"/>
      <c r="D961" s="13"/>
      <c r="E961" s="7" t="str">
        <f aca="false">IF(D961="","",IFERROR(INDEX(Materiali!$B:$B,MATCH(D961,Materiali!$A:$A,0)),"codice?"))</f>
        <v/>
      </c>
      <c r="F961" s="13"/>
      <c r="G961" s="13"/>
      <c r="H961" s="9" t="str">
        <f aca="false">IF(D961="","",IFERROR(INDEX(Materiali!$C:$C,MATCH(D961,Materiali!$A:$A,0)),0))</f>
        <v/>
      </c>
      <c r="I961" s="9" t="str">
        <f aca="false">IF(OR(G961="",H961=""),"",IF(F961="Uscita",-1,1)*G961*H961)</f>
        <v/>
      </c>
      <c r="J961" s="13"/>
      <c r="K961" s="13"/>
    </row>
    <row r="962" customFormat="false" ht="15" hidden="false" customHeight="false" outlineLevel="0" collapsed="false">
      <c r="A962" s="12"/>
      <c r="B962" s="13"/>
      <c r="C962" s="13"/>
      <c r="D962" s="13"/>
      <c r="E962" s="7" t="str">
        <f aca="false">IF(D962="","",IFERROR(INDEX(Materiali!$B:$B,MATCH(D962,Materiali!$A:$A,0)),"codice?"))</f>
        <v/>
      </c>
      <c r="F962" s="13"/>
      <c r="G962" s="13"/>
      <c r="H962" s="9" t="str">
        <f aca="false">IF(D962="","",IFERROR(INDEX(Materiali!$C:$C,MATCH(D962,Materiali!$A:$A,0)),0))</f>
        <v/>
      </c>
      <c r="I962" s="9" t="str">
        <f aca="false">IF(OR(G962="",H962=""),"",IF(F962="Uscita",-1,1)*G962*H962)</f>
        <v/>
      </c>
      <c r="J962" s="13"/>
      <c r="K962" s="13"/>
    </row>
    <row r="963" customFormat="false" ht="15" hidden="false" customHeight="false" outlineLevel="0" collapsed="false">
      <c r="A963" s="12"/>
      <c r="B963" s="13"/>
      <c r="C963" s="13"/>
      <c r="D963" s="13"/>
      <c r="E963" s="7" t="str">
        <f aca="false">IF(D963="","",IFERROR(INDEX(Materiali!$B:$B,MATCH(D963,Materiali!$A:$A,0)),"codice?"))</f>
        <v/>
      </c>
      <c r="F963" s="13"/>
      <c r="G963" s="13"/>
      <c r="H963" s="9" t="str">
        <f aca="false">IF(D963="","",IFERROR(INDEX(Materiali!$C:$C,MATCH(D963,Materiali!$A:$A,0)),0))</f>
        <v/>
      </c>
      <c r="I963" s="9" t="str">
        <f aca="false">IF(OR(G963="",H963=""),"",IF(F963="Uscita",-1,1)*G963*H963)</f>
        <v/>
      </c>
      <c r="J963" s="13"/>
      <c r="K963" s="13"/>
    </row>
    <row r="964" customFormat="false" ht="15" hidden="false" customHeight="false" outlineLevel="0" collapsed="false">
      <c r="A964" s="12"/>
      <c r="B964" s="13"/>
      <c r="C964" s="13"/>
      <c r="D964" s="13"/>
      <c r="E964" s="7" t="str">
        <f aca="false">IF(D964="","",IFERROR(INDEX(Materiali!$B:$B,MATCH(D964,Materiali!$A:$A,0)),"codice?"))</f>
        <v/>
      </c>
      <c r="F964" s="13"/>
      <c r="G964" s="13"/>
      <c r="H964" s="9" t="str">
        <f aca="false">IF(D964="","",IFERROR(INDEX(Materiali!$C:$C,MATCH(D964,Materiali!$A:$A,0)),0))</f>
        <v/>
      </c>
      <c r="I964" s="9" t="str">
        <f aca="false">IF(OR(G964="",H964=""),"",IF(F964="Uscita",-1,1)*G964*H964)</f>
        <v/>
      </c>
      <c r="J964" s="13"/>
      <c r="K964" s="13"/>
    </row>
    <row r="965" customFormat="false" ht="15" hidden="false" customHeight="false" outlineLevel="0" collapsed="false">
      <c r="A965" s="12"/>
      <c r="B965" s="13"/>
      <c r="C965" s="13"/>
      <c r="D965" s="13"/>
      <c r="E965" s="7" t="str">
        <f aca="false">IF(D965="","",IFERROR(INDEX(Materiali!$B:$B,MATCH(D965,Materiali!$A:$A,0)),"codice?"))</f>
        <v/>
      </c>
      <c r="F965" s="13"/>
      <c r="G965" s="13"/>
      <c r="H965" s="9" t="str">
        <f aca="false">IF(D965="","",IFERROR(INDEX(Materiali!$C:$C,MATCH(D965,Materiali!$A:$A,0)),0))</f>
        <v/>
      </c>
      <c r="I965" s="9" t="str">
        <f aca="false">IF(OR(G965="",H965=""),"",IF(F965="Uscita",-1,1)*G965*H965)</f>
        <v/>
      </c>
      <c r="J965" s="13"/>
      <c r="K965" s="13"/>
    </row>
    <row r="966" customFormat="false" ht="15" hidden="false" customHeight="false" outlineLevel="0" collapsed="false">
      <c r="A966" s="12"/>
      <c r="B966" s="13"/>
      <c r="C966" s="13"/>
      <c r="D966" s="13"/>
      <c r="E966" s="7" t="str">
        <f aca="false">IF(D966="","",IFERROR(INDEX(Materiali!$B:$B,MATCH(D966,Materiali!$A:$A,0)),"codice?"))</f>
        <v/>
      </c>
      <c r="F966" s="13"/>
      <c r="G966" s="13"/>
      <c r="H966" s="9" t="str">
        <f aca="false">IF(D966="","",IFERROR(INDEX(Materiali!$C:$C,MATCH(D966,Materiali!$A:$A,0)),0))</f>
        <v/>
      </c>
      <c r="I966" s="9" t="str">
        <f aca="false">IF(OR(G966="",H966=""),"",IF(F966="Uscita",-1,1)*G966*H966)</f>
        <v/>
      </c>
      <c r="J966" s="13"/>
      <c r="K966" s="13"/>
    </row>
    <row r="967" customFormat="false" ht="15" hidden="false" customHeight="false" outlineLevel="0" collapsed="false">
      <c r="A967" s="12"/>
      <c r="B967" s="13"/>
      <c r="C967" s="13"/>
      <c r="D967" s="13"/>
      <c r="E967" s="7" t="str">
        <f aca="false">IF(D967="","",IFERROR(INDEX(Materiali!$B:$B,MATCH(D967,Materiali!$A:$A,0)),"codice?"))</f>
        <v/>
      </c>
      <c r="F967" s="13"/>
      <c r="G967" s="13"/>
      <c r="H967" s="9" t="str">
        <f aca="false">IF(D967="","",IFERROR(INDEX(Materiali!$C:$C,MATCH(D967,Materiali!$A:$A,0)),0))</f>
        <v/>
      </c>
      <c r="I967" s="9" t="str">
        <f aca="false">IF(OR(G967="",H967=""),"",IF(F967="Uscita",-1,1)*G967*H967)</f>
        <v/>
      </c>
      <c r="J967" s="13"/>
      <c r="K967" s="13"/>
    </row>
    <row r="968" customFormat="false" ht="15" hidden="false" customHeight="false" outlineLevel="0" collapsed="false">
      <c r="A968" s="12"/>
      <c r="B968" s="13"/>
      <c r="C968" s="13"/>
      <c r="D968" s="13"/>
      <c r="E968" s="7" t="str">
        <f aca="false">IF(D968="","",IFERROR(INDEX(Materiali!$B:$B,MATCH(D968,Materiali!$A:$A,0)),"codice?"))</f>
        <v/>
      </c>
      <c r="F968" s="13"/>
      <c r="G968" s="13"/>
      <c r="H968" s="9" t="str">
        <f aca="false">IF(D968="","",IFERROR(INDEX(Materiali!$C:$C,MATCH(D968,Materiali!$A:$A,0)),0))</f>
        <v/>
      </c>
      <c r="I968" s="9" t="str">
        <f aca="false">IF(OR(G968="",H968=""),"",IF(F968="Uscita",-1,1)*G968*H968)</f>
        <v/>
      </c>
      <c r="J968" s="13"/>
      <c r="K968" s="13"/>
    </row>
    <row r="969" customFormat="false" ht="15" hidden="false" customHeight="false" outlineLevel="0" collapsed="false">
      <c r="A969" s="12"/>
      <c r="B969" s="13"/>
      <c r="C969" s="13"/>
      <c r="D969" s="13"/>
      <c r="E969" s="7" t="str">
        <f aca="false">IF(D969="","",IFERROR(INDEX(Materiali!$B:$B,MATCH(D969,Materiali!$A:$A,0)),"codice?"))</f>
        <v/>
      </c>
      <c r="F969" s="13"/>
      <c r="G969" s="13"/>
      <c r="H969" s="9" t="str">
        <f aca="false">IF(D969="","",IFERROR(INDEX(Materiali!$C:$C,MATCH(D969,Materiali!$A:$A,0)),0))</f>
        <v/>
      </c>
      <c r="I969" s="9" t="str">
        <f aca="false">IF(OR(G969="",H969=""),"",IF(F969="Uscita",-1,1)*G969*H969)</f>
        <v/>
      </c>
      <c r="J969" s="13"/>
      <c r="K969" s="13"/>
    </row>
    <row r="970" customFormat="false" ht="15" hidden="false" customHeight="false" outlineLevel="0" collapsed="false">
      <c r="A970" s="12"/>
      <c r="B970" s="13"/>
      <c r="C970" s="13"/>
      <c r="D970" s="13"/>
      <c r="E970" s="7" t="str">
        <f aca="false">IF(D970="","",IFERROR(INDEX(Materiali!$B:$B,MATCH(D970,Materiali!$A:$A,0)),"codice?"))</f>
        <v/>
      </c>
      <c r="F970" s="13"/>
      <c r="G970" s="13"/>
      <c r="H970" s="9" t="str">
        <f aca="false">IF(D970="","",IFERROR(INDEX(Materiali!$C:$C,MATCH(D970,Materiali!$A:$A,0)),0))</f>
        <v/>
      </c>
      <c r="I970" s="9" t="str">
        <f aca="false">IF(OR(G970="",H970=""),"",IF(F970="Uscita",-1,1)*G970*H970)</f>
        <v/>
      </c>
      <c r="J970" s="13"/>
      <c r="K970" s="13"/>
    </row>
    <row r="971" customFormat="false" ht="15" hidden="false" customHeight="false" outlineLevel="0" collapsed="false">
      <c r="A971" s="12"/>
      <c r="B971" s="13"/>
      <c r="C971" s="13"/>
      <c r="D971" s="13"/>
      <c r="E971" s="7" t="str">
        <f aca="false">IF(D971="","",IFERROR(INDEX(Materiali!$B:$B,MATCH(D971,Materiali!$A:$A,0)),"codice?"))</f>
        <v/>
      </c>
      <c r="F971" s="13"/>
      <c r="G971" s="13"/>
      <c r="H971" s="9" t="str">
        <f aca="false">IF(D971="","",IFERROR(INDEX(Materiali!$C:$C,MATCH(D971,Materiali!$A:$A,0)),0))</f>
        <v/>
      </c>
      <c r="I971" s="9" t="str">
        <f aca="false">IF(OR(G971="",H971=""),"",IF(F971="Uscita",-1,1)*G971*H971)</f>
        <v/>
      </c>
      <c r="J971" s="13"/>
      <c r="K971" s="13"/>
    </row>
    <row r="972" customFormat="false" ht="15" hidden="false" customHeight="false" outlineLevel="0" collapsed="false">
      <c r="A972" s="12"/>
      <c r="B972" s="13"/>
      <c r="C972" s="13"/>
      <c r="D972" s="13"/>
      <c r="E972" s="7" t="str">
        <f aca="false">IF(D972="","",IFERROR(INDEX(Materiali!$B:$B,MATCH(D972,Materiali!$A:$A,0)),"codice?"))</f>
        <v/>
      </c>
      <c r="F972" s="13"/>
      <c r="G972" s="13"/>
      <c r="H972" s="9" t="str">
        <f aca="false">IF(D972="","",IFERROR(INDEX(Materiali!$C:$C,MATCH(D972,Materiali!$A:$A,0)),0))</f>
        <v/>
      </c>
      <c r="I972" s="9" t="str">
        <f aca="false">IF(OR(G972="",H972=""),"",IF(F972="Uscita",-1,1)*G972*H972)</f>
        <v/>
      </c>
      <c r="J972" s="13"/>
      <c r="K972" s="13"/>
    </row>
    <row r="973" customFormat="false" ht="15" hidden="false" customHeight="false" outlineLevel="0" collapsed="false">
      <c r="A973" s="12"/>
      <c r="B973" s="13"/>
      <c r="C973" s="13"/>
      <c r="D973" s="13"/>
      <c r="E973" s="7" t="str">
        <f aca="false">IF(D973="","",IFERROR(INDEX(Materiali!$B:$B,MATCH(D973,Materiali!$A:$A,0)),"codice?"))</f>
        <v/>
      </c>
      <c r="F973" s="13"/>
      <c r="G973" s="13"/>
      <c r="H973" s="9" t="str">
        <f aca="false">IF(D973="","",IFERROR(INDEX(Materiali!$C:$C,MATCH(D973,Materiali!$A:$A,0)),0))</f>
        <v/>
      </c>
      <c r="I973" s="9" t="str">
        <f aca="false">IF(OR(G973="",H973=""),"",IF(F973="Uscita",-1,1)*G973*H973)</f>
        <v/>
      </c>
      <c r="J973" s="13"/>
      <c r="K973" s="13"/>
    </row>
    <row r="974" customFormat="false" ht="15" hidden="false" customHeight="false" outlineLevel="0" collapsed="false">
      <c r="A974" s="12"/>
      <c r="B974" s="13"/>
      <c r="C974" s="13"/>
      <c r="D974" s="13"/>
      <c r="E974" s="7" t="str">
        <f aca="false">IF(D974="","",IFERROR(INDEX(Materiali!$B:$B,MATCH(D974,Materiali!$A:$A,0)),"codice?"))</f>
        <v/>
      </c>
      <c r="F974" s="13"/>
      <c r="G974" s="13"/>
      <c r="H974" s="9" t="str">
        <f aca="false">IF(D974="","",IFERROR(INDEX(Materiali!$C:$C,MATCH(D974,Materiali!$A:$A,0)),0))</f>
        <v/>
      </c>
      <c r="I974" s="9" t="str">
        <f aca="false">IF(OR(G974="",H974=""),"",IF(F974="Uscita",-1,1)*G974*H974)</f>
        <v/>
      </c>
      <c r="J974" s="13"/>
      <c r="K974" s="13"/>
    </row>
    <row r="975" customFormat="false" ht="15" hidden="false" customHeight="false" outlineLevel="0" collapsed="false">
      <c r="A975" s="12"/>
      <c r="B975" s="13"/>
      <c r="C975" s="13"/>
      <c r="D975" s="13"/>
      <c r="E975" s="7" t="str">
        <f aca="false">IF(D975="","",IFERROR(INDEX(Materiali!$B:$B,MATCH(D975,Materiali!$A:$A,0)),"codice?"))</f>
        <v/>
      </c>
      <c r="F975" s="13"/>
      <c r="G975" s="13"/>
      <c r="H975" s="9" t="str">
        <f aca="false">IF(D975="","",IFERROR(INDEX(Materiali!$C:$C,MATCH(D975,Materiali!$A:$A,0)),0))</f>
        <v/>
      </c>
      <c r="I975" s="9" t="str">
        <f aca="false">IF(OR(G975="",H975=""),"",IF(F975="Uscita",-1,1)*G975*H975)</f>
        <v/>
      </c>
      <c r="J975" s="13"/>
      <c r="K975" s="13"/>
    </row>
    <row r="976" customFormat="false" ht="15" hidden="false" customHeight="false" outlineLevel="0" collapsed="false">
      <c r="A976" s="12"/>
      <c r="B976" s="13"/>
      <c r="C976" s="13"/>
      <c r="D976" s="13"/>
      <c r="E976" s="7" t="str">
        <f aca="false">IF(D976="","",IFERROR(INDEX(Materiali!$B:$B,MATCH(D976,Materiali!$A:$A,0)),"codice?"))</f>
        <v/>
      </c>
      <c r="F976" s="13"/>
      <c r="G976" s="13"/>
      <c r="H976" s="9" t="str">
        <f aca="false">IF(D976="","",IFERROR(INDEX(Materiali!$C:$C,MATCH(D976,Materiali!$A:$A,0)),0))</f>
        <v/>
      </c>
      <c r="I976" s="9" t="str">
        <f aca="false">IF(OR(G976="",H976=""),"",IF(F976="Uscita",-1,1)*G976*H976)</f>
        <v/>
      </c>
      <c r="J976" s="13"/>
      <c r="K976" s="13"/>
    </row>
    <row r="977" customFormat="false" ht="15" hidden="false" customHeight="false" outlineLevel="0" collapsed="false">
      <c r="A977" s="12"/>
      <c r="B977" s="13"/>
      <c r="C977" s="13"/>
      <c r="D977" s="13"/>
      <c r="E977" s="7" t="str">
        <f aca="false">IF(D977="","",IFERROR(INDEX(Materiali!$B:$B,MATCH(D977,Materiali!$A:$A,0)),"codice?"))</f>
        <v/>
      </c>
      <c r="F977" s="13"/>
      <c r="G977" s="13"/>
      <c r="H977" s="9" t="str">
        <f aca="false">IF(D977="","",IFERROR(INDEX(Materiali!$C:$C,MATCH(D977,Materiali!$A:$A,0)),0))</f>
        <v/>
      </c>
      <c r="I977" s="9" t="str">
        <f aca="false">IF(OR(G977="",H977=""),"",IF(F977="Uscita",-1,1)*G977*H977)</f>
        <v/>
      </c>
      <c r="J977" s="13"/>
      <c r="K977" s="13"/>
    </row>
    <row r="978" customFormat="false" ht="15" hidden="false" customHeight="false" outlineLevel="0" collapsed="false">
      <c r="A978" s="12"/>
      <c r="B978" s="13"/>
      <c r="C978" s="13"/>
      <c r="D978" s="13"/>
      <c r="E978" s="7" t="str">
        <f aca="false">IF(D978="","",IFERROR(INDEX(Materiali!$B:$B,MATCH(D978,Materiali!$A:$A,0)),"codice?"))</f>
        <v/>
      </c>
      <c r="F978" s="13"/>
      <c r="G978" s="13"/>
      <c r="H978" s="9" t="str">
        <f aca="false">IF(D978="","",IFERROR(INDEX(Materiali!$C:$C,MATCH(D978,Materiali!$A:$A,0)),0))</f>
        <v/>
      </c>
      <c r="I978" s="9" t="str">
        <f aca="false">IF(OR(G978="",H978=""),"",IF(F978="Uscita",-1,1)*G978*H978)</f>
        <v/>
      </c>
      <c r="J978" s="13"/>
      <c r="K978" s="13"/>
    </row>
    <row r="979" customFormat="false" ht="15" hidden="false" customHeight="false" outlineLevel="0" collapsed="false">
      <c r="A979" s="12"/>
      <c r="B979" s="13"/>
      <c r="C979" s="13"/>
      <c r="D979" s="13"/>
      <c r="E979" s="7" t="str">
        <f aca="false">IF(D979="","",IFERROR(INDEX(Materiali!$B:$B,MATCH(D979,Materiali!$A:$A,0)),"codice?"))</f>
        <v/>
      </c>
      <c r="F979" s="13"/>
      <c r="G979" s="13"/>
      <c r="H979" s="9" t="str">
        <f aca="false">IF(D979="","",IFERROR(INDEX(Materiali!$C:$C,MATCH(D979,Materiali!$A:$A,0)),0))</f>
        <v/>
      </c>
      <c r="I979" s="9" t="str">
        <f aca="false">IF(OR(G979="",H979=""),"",IF(F979="Uscita",-1,1)*G979*H979)</f>
        <v/>
      </c>
      <c r="J979" s="13"/>
      <c r="K979" s="13"/>
    </row>
    <row r="980" customFormat="false" ht="15" hidden="false" customHeight="false" outlineLevel="0" collapsed="false">
      <c r="A980" s="12"/>
      <c r="B980" s="13"/>
      <c r="C980" s="13"/>
      <c r="D980" s="13"/>
      <c r="E980" s="7" t="str">
        <f aca="false">IF(D980="","",IFERROR(INDEX(Materiali!$B:$B,MATCH(D980,Materiali!$A:$A,0)),"codice?"))</f>
        <v/>
      </c>
      <c r="F980" s="13"/>
      <c r="G980" s="13"/>
      <c r="H980" s="9" t="str">
        <f aca="false">IF(D980="","",IFERROR(INDEX(Materiali!$C:$C,MATCH(D980,Materiali!$A:$A,0)),0))</f>
        <v/>
      </c>
      <c r="I980" s="9" t="str">
        <f aca="false">IF(OR(G980="",H980=""),"",IF(F980="Uscita",-1,1)*G980*H980)</f>
        <v/>
      </c>
      <c r="J980" s="13"/>
      <c r="K980" s="13"/>
    </row>
    <row r="981" customFormat="false" ht="15" hidden="false" customHeight="false" outlineLevel="0" collapsed="false">
      <c r="A981" s="12"/>
      <c r="B981" s="13"/>
      <c r="C981" s="13"/>
      <c r="D981" s="13"/>
      <c r="E981" s="7" t="str">
        <f aca="false">IF(D981="","",IFERROR(INDEX(Materiali!$B:$B,MATCH(D981,Materiali!$A:$A,0)),"codice?"))</f>
        <v/>
      </c>
      <c r="F981" s="13"/>
      <c r="G981" s="13"/>
      <c r="H981" s="9" t="str">
        <f aca="false">IF(D981="","",IFERROR(INDEX(Materiali!$C:$C,MATCH(D981,Materiali!$A:$A,0)),0))</f>
        <v/>
      </c>
      <c r="I981" s="9" t="str">
        <f aca="false">IF(OR(G981="",H981=""),"",IF(F981="Uscita",-1,1)*G981*H981)</f>
        <v/>
      </c>
      <c r="J981" s="13"/>
      <c r="K981" s="13"/>
    </row>
    <row r="982" customFormat="false" ht="15" hidden="false" customHeight="false" outlineLevel="0" collapsed="false">
      <c r="A982" s="12"/>
      <c r="B982" s="13"/>
      <c r="C982" s="13"/>
      <c r="D982" s="13"/>
      <c r="E982" s="7" t="str">
        <f aca="false">IF(D982="","",IFERROR(INDEX(Materiali!$B:$B,MATCH(D982,Materiali!$A:$A,0)),"codice?"))</f>
        <v/>
      </c>
      <c r="F982" s="13"/>
      <c r="G982" s="13"/>
      <c r="H982" s="9" t="str">
        <f aca="false">IF(D982="","",IFERROR(INDEX(Materiali!$C:$C,MATCH(D982,Materiali!$A:$A,0)),0))</f>
        <v/>
      </c>
      <c r="I982" s="9" t="str">
        <f aca="false">IF(OR(G982="",H982=""),"",IF(F982="Uscita",-1,1)*G982*H982)</f>
        <v/>
      </c>
      <c r="J982" s="13"/>
      <c r="K982" s="13"/>
    </row>
    <row r="983" customFormat="false" ht="15" hidden="false" customHeight="false" outlineLevel="0" collapsed="false">
      <c r="A983" s="12"/>
      <c r="B983" s="13"/>
      <c r="C983" s="13"/>
      <c r="D983" s="13"/>
      <c r="E983" s="7" t="str">
        <f aca="false">IF(D983="","",IFERROR(INDEX(Materiali!$B:$B,MATCH(D983,Materiali!$A:$A,0)),"codice?"))</f>
        <v/>
      </c>
      <c r="F983" s="13"/>
      <c r="G983" s="13"/>
      <c r="H983" s="9" t="str">
        <f aca="false">IF(D983="","",IFERROR(INDEX(Materiali!$C:$C,MATCH(D983,Materiali!$A:$A,0)),0))</f>
        <v/>
      </c>
      <c r="I983" s="9" t="str">
        <f aca="false">IF(OR(G983="",H983=""),"",IF(F983="Uscita",-1,1)*G983*H983)</f>
        <v/>
      </c>
      <c r="J983" s="13"/>
      <c r="K983" s="13"/>
    </row>
    <row r="984" customFormat="false" ht="15" hidden="false" customHeight="false" outlineLevel="0" collapsed="false">
      <c r="A984" s="12"/>
      <c r="B984" s="13"/>
      <c r="C984" s="13"/>
      <c r="D984" s="13"/>
      <c r="E984" s="7" t="str">
        <f aca="false">IF(D984="","",IFERROR(INDEX(Materiali!$B:$B,MATCH(D984,Materiali!$A:$A,0)),"codice?"))</f>
        <v/>
      </c>
      <c r="F984" s="13"/>
      <c r="G984" s="13"/>
      <c r="H984" s="9" t="str">
        <f aca="false">IF(D984="","",IFERROR(INDEX(Materiali!$C:$C,MATCH(D984,Materiali!$A:$A,0)),0))</f>
        <v/>
      </c>
      <c r="I984" s="9" t="str">
        <f aca="false">IF(OR(G984="",H984=""),"",IF(F984="Uscita",-1,1)*G984*H984)</f>
        <v/>
      </c>
      <c r="J984" s="13"/>
      <c r="K984" s="13"/>
    </row>
    <row r="985" customFormat="false" ht="15" hidden="false" customHeight="false" outlineLevel="0" collapsed="false">
      <c r="A985" s="12"/>
      <c r="B985" s="13"/>
      <c r="C985" s="13"/>
      <c r="D985" s="13"/>
      <c r="E985" s="7" t="str">
        <f aca="false">IF(D985="","",IFERROR(INDEX(Materiali!$B:$B,MATCH(D985,Materiali!$A:$A,0)),"codice?"))</f>
        <v/>
      </c>
      <c r="F985" s="13"/>
      <c r="G985" s="13"/>
      <c r="H985" s="9" t="str">
        <f aca="false">IF(D985="","",IFERROR(INDEX(Materiali!$C:$C,MATCH(D985,Materiali!$A:$A,0)),0))</f>
        <v/>
      </c>
      <c r="I985" s="9" t="str">
        <f aca="false">IF(OR(G985="",H985=""),"",IF(F985="Uscita",-1,1)*G985*H985)</f>
        <v/>
      </c>
      <c r="J985" s="13"/>
      <c r="K985" s="13"/>
    </row>
    <row r="986" customFormat="false" ht="15" hidden="false" customHeight="false" outlineLevel="0" collapsed="false">
      <c r="A986" s="12"/>
      <c r="B986" s="13"/>
      <c r="C986" s="13"/>
      <c r="D986" s="13"/>
      <c r="E986" s="7" t="str">
        <f aca="false">IF(D986="","",IFERROR(INDEX(Materiali!$B:$B,MATCH(D986,Materiali!$A:$A,0)),"codice?"))</f>
        <v/>
      </c>
      <c r="F986" s="13"/>
      <c r="G986" s="13"/>
      <c r="H986" s="9" t="str">
        <f aca="false">IF(D986="","",IFERROR(INDEX(Materiali!$C:$C,MATCH(D986,Materiali!$A:$A,0)),0))</f>
        <v/>
      </c>
      <c r="I986" s="9" t="str">
        <f aca="false">IF(OR(G986="",H986=""),"",IF(F986="Uscita",-1,1)*G986*H986)</f>
        <v/>
      </c>
      <c r="J986" s="13"/>
      <c r="K986" s="13"/>
    </row>
    <row r="987" customFormat="false" ht="15" hidden="false" customHeight="false" outlineLevel="0" collapsed="false">
      <c r="A987" s="12"/>
      <c r="B987" s="13"/>
      <c r="C987" s="13"/>
      <c r="D987" s="13"/>
      <c r="E987" s="7" t="str">
        <f aca="false">IF(D987="","",IFERROR(INDEX(Materiali!$B:$B,MATCH(D987,Materiali!$A:$A,0)),"codice?"))</f>
        <v/>
      </c>
      <c r="F987" s="13"/>
      <c r="G987" s="13"/>
      <c r="H987" s="9" t="str">
        <f aca="false">IF(D987="","",IFERROR(INDEX(Materiali!$C:$C,MATCH(D987,Materiali!$A:$A,0)),0))</f>
        <v/>
      </c>
      <c r="I987" s="9" t="str">
        <f aca="false">IF(OR(G987="",H987=""),"",IF(F987="Uscita",-1,1)*G987*H987)</f>
        <v/>
      </c>
      <c r="J987" s="13"/>
      <c r="K987" s="13"/>
    </row>
    <row r="988" customFormat="false" ht="15" hidden="false" customHeight="false" outlineLevel="0" collapsed="false">
      <c r="A988" s="12"/>
      <c r="B988" s="13"/>
      <c r="C988" s="13"/>
      <c r="D988" s="13"/>
      <c r="E988" s="7" t="str">
        <f aca="false">IF(D988="","",IFERROR(INDEX(Materiali!$B:$B,MATCH(D988,Materiali!$A:$A,0)),"codice?"))</f>
        <v/>
      </c>
      <c r="F988" s="13"/>
      <c r="G988" s="13"/>
      <c r="H988" s="9" t="str">
        <f aca="false">IF(D988="","",IFERROR(INDEX(Materiali!$C:$C,MATCH(D988,Materiali!$A:$A,0)),0))</f>
        <v/>
      </c>
      <c r="I988" s="9" t="str">
        <f aca="false">IF(OR(G988="",H988=""),"",IF(F988="Uscita",-1,1)*G988*H988)</f>
        <v/>
      </c>
      <c r="J988" s="13"/>
      <c r="K988" s="13"/>
    </row>
    <row r="989" customFormat="false" ht="15" hidden="false" customHeight="false" outlineLevel="0" collapsed="false">
      <c r="A989" s="12"/>
      <c r="B989" s="13"/>
      <c r="C989" s="13"/>
      <c r="D989" s="13"/>
      <c r="E989" s="7" t="str">
        <f aca="false">IF(D989="","",IFERROR(INDEX(Materiali!$B:$B,MATCH(D989,Materiali!$A:$A,0)),"codice?"))</f>
        <v/>
      </c>
      <c r="F989" s="13"/>
      <c r="G989" s="13"/>
      <c r="H989" s="9" t="str">
        <f aca="false">IF(D989="","",IFERROR(INDEX(Materiali!$C:$C,MATCH(D989,Materiali!$A:$A,0)),0))</f>
        <v/>
      </c>
      <c r="I989" s="9" t="str">
        <f aca="false">IF(OR(G989="",H989=""),"",IF(F989="Uscita",-1,1)*G989*H989)</f>
        <v/>
      </c>
      <c r="J989" s="13"/>
      <c r="K989" s="13"/>
    </row>
    <row r="990" customFormat="false" ht="15" hidden="false" customHeight="false" outlineLevel="0" collapsed="false">
      <c r="A990" s="12"/>
      <c r="B990" s="13"/>
      <c r="C990" s="13"/>
      <c r="D990" s="13"/>
      <c r="E990" s="7" t="str">
        <f aca="false">IF(D990="","",IFERROR(INDEX(Materiali!$B:$B,MATCH(D990,Materiali!$A:$A,0)),"codice?"))</f>
        <v/>
      </c>
      <c r="F990" s="13"/>
      <c r="G990" s="13"/>
      <c r="H990" s="9" t="str">
        <f aca="false">IF(D990="","",IFERROR(INDEX(Materiali!$C:$C,MATCH(D990,Materiali!$A:$A,0)),0))</f>
        <v/>
      </c>
      <c r="I990" s="9" t="str">
        <f aca="false">IF(OR(G990="",H990=""),"",IF(F990="Uscita",-1,1)*G990*H990)</f>
        <v/>
      </c>
      <c r="J990" s="13"/>
      <c r="K990" s="13"/>
    </row>
    <row r="991" customFormat="false" ht="15" hidden="false" customHeight="false" outlineLevel="0" collapsed="false">
      <c r="A991" s="12"/>
      <c r="B991" s="13"/>
      <c r="C991" s="13"/>
      <c r="D991" s="13"/>
      <c r="E991" s="7" t="str">
        <f aca="false">IF(D991="","",IFERROR(INDEX(Materiali!$B:$B,MATCH(D991,Materiali!$A:$A,0)),"codice?"))</f>
        <v/>
      </c>
      <c r="F991" s="13"/>
      <c r="G991" s="13"/>
      <c r="H991" s="9" t="str">
        <f aca="false">IF(D991="","",IFERROR(INDEX(Materiali!$C:$C,MATCH(D991,Materiali!$A:$A,0)),0))</f>
        <v/>
      </c>
      <c r="I991" s="9" t="str">
        <f aca="false">IF(OR(G991="",H991=""),"",IF(F991="Uscita",-1,1)*G991*H991)</f>
        <v/>
      </c>
      <c r="J991" s="13"/>
      <c r="K991" s="13"/>
    </row>
    <row r="992" customFormat="false" ht="15" hidden="false" customHeight="false" outlineLevel="0" collapsed="false">
      <c r="A992" s="12"/>
      <c r="B992" s="13"/>
      <c r="C992" s="13"/>
      <c r="D992" s="13"/>
      <c r="E992" s="7" t="str">
        <f aca="false">IF(D992="","",IFERROR(INDEX(Materiali!$B:$B,MATCH(D992,Materiali!$A:$A,0)),"codice?"))</f>
        <v/>
      </c>
      <c r="F992" s="13"/>
      <c r="G992" s="13"/>
      <c r="H992" s="9" t="str">
        <f aca="false">IF(D992="","",IFERROR(INDEX(Materiali!$C:$C,MATCH(D992,Materiali!$A:$A,0)),0))</f>
        <v/>
      </c>
      <c r="I992" s="9" t="str">
        <f aca="false">IF(OR(G992="",H992=""),"",IF(F992="Uscita",-1,1)*G992*H992)</f>
        <v/>
      </c>
      <c r="J992" s="13"/>
      <c r="K992" s="13"/>
    </row>
    <row r="993" customFormat="false" ht="15" hidden="false" customHeight="false" outlineLevel="0" collapsed="false">
      <c r="A993" s="12"/>
      <c r="B993" s="13"/>
      <c r="C993" s="13"/>
      <c r="D993" s="13"/>
      <c r="E993" s="7" t="str">
        <f aca="false">IF(D993="","",IFERROR(INDEX(Materiali!$B:$B,MATCH(D993,Materiali!$A:$A,0)),"codice?"))</f>
        <v/>
      </c>
      <c r="F993" s="13"/>
      <c r="G993" s="13"/>
      <c r="H993" s="9" t="str">
        <f aca="false">IF(D993="","",IFERROR(INDEX(Materiali!$C:$C,MATCH(D993,Materiali!$A:$A,0)),0))</f>
        <v/>
      </c>
      <c r="I993" s="9" t="str">
        <f aca="false">IF(OR(G993="",H993=""),"",IF(F993="Uscita",-1,1)*G993*H993)</f>
        <v/>
      </c>
      <c r="J993" s="13"/>
      <c r="K993" s="13"/>
    </row>
    <row r="994" customFormat="false" ht="15" hidden="false" customHeight="false" outlineLevel="0" collapsed="false">
      <c r="A994" s="12"/>
      <c r="B994" s="13"/>
      <c r="C994" s="13"/>
      <c r="D994" s="13"/>
      <c r="E994" s="7" t="str">
        <f aca="false">IF(D994="","",IFERROR(INDEX(Materiali!$B:$B,MATCH(D994,Materiali!$A:$A,0)),"codice?"))</f>
        <v/>
      </c>
      <c r="F994" s="13"/>
      <c r="G994" s="13"/>
      <c r="H994" s="9" t="str">
        <f aca="false">IF(D994="","",IFERROR(INDEX(Materiali!$C:$C,MATCH(D994,Materiali!$A:$A,0)),0))</f>
        <v/>
      </c>
      <c r="I994" s="9" t="str">
        <f aca="false">IF(OR(G994="",H994=""),"",IF(F994="Uscita",-1,1)*G994*H994)</f>
        <v/>
      </c>
      <c r="J994" s="13"/>
      <c r="K994" s="13"/>
    </row>
    <row r="995" customFormat="false" ht="15" hidden="false" customHeight="false" outlineLevel="0" collapsed="false">
      <c r="A995" s="12"/>
      <c r="B995" s="13"/>
      <c r="C995" s="13"/>
      <c r="D995" s="13"/>
      <c r="E995" s="7" t="str">
        <f aca="false">IF(D995="","",IFERROR(INDEX(Materiali!$B:$B,MATCH(D995,Materiali!$A:$A,0)),"codice?"))</f>
        <v/>
      </c>
      <c r="F995" s="13"/>
      <c r="G995" s="13"/>
      <c r="H995" s="9" t="str">
        <f aca="false">IF(D995="","",IFERROR(INDEX(Materiali!$C:$C,MATCH(D995,Materiali!$A:$A,0)),0))</f>
        <v/>
      </c>
      <c r="I995" s="9" t="str">
        <f aca="false">IF(OR(G995="",H995=""),"",IF(F995="Uscita",-1,1)*G995*H995)</f>
        <v/>
      </c>
      <c r="J995" s="13"/>
      <c r="K995" s="13"/>
    </row>
    <row r="996" customFormat="false" ht="15" hidden="false" customHeight="false" outlineLevel="0" collapsed="false">
      <c r="A996" s="12"/>
      <c r="B996" s="13"/>
      <c r="C996" s="13"/>
      <c r="D996" s="13"/>
      <c r="E996" s="7" t="str">
        <f aca="false">IF(D996="","",IFERROR(INDEX(Materiali!$B:$B,MATCH(D996,Materiali!$A:$A,0)),"codice?"))</f>
        <v/>
      </c>
      <c r="F996" s="13"/>
      <c r="G996" s="13"/>
      <c r="H996" s="9" t="str">
        <f aca="false">IF(D996="","",IFERROR(INDEX(Materiali!$C:$C,MATCH(D996,Materiali!$A:$A,0)),0))</f>
        <v/>
      </c>
      <c r="I996" s="9" t="str">
        <f aca="false">IF(OR(G996="",H996=""),"",IF(F996="Uscita",-1,1)*G996*H996)</f>
        <v/>
      </c>
      <c r="J996" s="13"/>
      <c r="K996" s="13"/>
    </row>
    <row r="997" customFormat="false" ht="15" hidden="false" customHeight="false" outlineLevel="0" collapsed="false">
      <c r="A997" s="12"/>
      <c r="B997" s="13"/>
      <c r="C997" s="13"/>
      <c r="D997" s="13"/>
      <c r="E997" s="7" t="str">
        <f aca="false">IF(D997="","",IFERROR(INDEX(Materiali!$B:$B,MATCH(D997,Materiali!$A:$A,0)),"codice?"))</f>
        <v/>
      </c>
      <c r="F997" s="13"/>
      <c r="G997" s="13"/>
      <c r="H997" s="9" t="str">
        <f aca="false">IF(D997="","",IFERROR(INDEX(Materiali!$C:$C,MATCH(D997,Materiali!$A:$A,0)),0))</f>
        <v/>
      </c>
      <c r="I997" s="9" t="str">
        <f aca="false">IF(OR(G997="",H997=""),"",IF(F997="Uscita",-1,1)*G997*H997)</f>
        <v/>
      </c>
      <c r="J997" s="13"/>
      <c r="K997" s="13"/>
    </row>
    <row r="998" customFormat="false" ht="15" hidden="false" customHeight="false" outlineLevel="0" collapsed="false">
      <c r="A998" s="12"/>
      <c r="B998" s="13"/>
      <c r="C998" s="13"/>
      <c r="D998" s="13"/>
      <c r="E998" s="7" t="str">
        <f aca="false">IF(D998="","",IFERROR(INDEX(Materiali!$B:$B,MATCH(D998,Materiali!$A:$A,0)),"codice?"))</f>
        <v/>
      </c>
      <c r="F998" s="13"/>
      <c r="G998" s="13"/>
      <c r="H998" s="9" t="str">
        <f aca="false">IF(D998="","",IFERROR(INDEX(Materiali!$C:$C,MATCH(D998,Materiali!$A:$A,0)),0))</f>
        <v/>
      </c>
      <c r="I998" s="9" t="str">
        <f aca="false">IF(OR(G998="",H998=""),"",IF(F998="Uscita",-1,1)*G998*H998)</f>
        <v/>
      </c>
      <c r="J998" s="13"/>
      <c r="K998" s="13"/>
    </row>
    <row r="999" customFormat="false" ht="15" hidden="false" customHeight="false" outlineLevel="0" collapsed="false">
      <c r="A999" s="12"/>
      <c r="B999" s="13"/>
      <c r="C999" s="13"/>
      <c r="D999" s="13"/>
      <c r="E999" s="7" t="str">
        <f aca="false">IF(D999="","",IFERROR(INDEX(Materiali!$B:$B,MATCH(D999,Materiali!$A:$A,0)),"codice?"))</f>
        <v/>
      </c>
      <c r="F999" s="13"/>
      <c r="G999" s="13"/>
      <c r="H999" s="9" t="str">
        <f aca="false">IF(D999="","",IFERROR(INDEX(Materiali!$C:$C,MATCH(D999,Materiali!$A:$A,0)),0))</f>
        <v/>
      </c>
      <c r="I999" s="9" t="str">
        <f aca="false">IF(OR(G999="",H999=""),"",IF(F999="Uscita",-1,1)*G999*H999)</f>
        <v/>
      </c>
      <c r="J999" s="13"/>
      <c r="K999" s="13"/>
    </row>
    <row r="1000" customFormat="false" ht="15" hidden="false" customHeight="false" outlineLevel="0" collapsed="false">
      <c r="A1000" s="12"/>
      <c r="B1000" s="13"/>
      <c r="C1000" s="13"/>
      <c r="D1000" s="13"/>
      <c r="E1000" s="7" t="str">
        <f aca="false">IF(D1000="","",IFERROR(INDEX(Materiali!$B:$B,MATCH(D1000,Materiali!$A:$A,0)),"codice?"))</f>
        <v/>
      </c>
      <c r="F1000" s="13"/>
      <c r="G1000" s="13"/>
      <c r="H1000" s="9" t="str">
        <f aca="false">IF(D1000="","",IFERROR(INDEX(Materiali!$C:$C,MATCH(D1000,Materiali!$A:$A,0)),0))</f>
        <v/>
      </c>
      <c r="I1000" s="9" t="str">
        <f aca="false">IF(OR(G1000="",H1000=""),"",IF(F1000="Uscita",-1,1)*G1000*H1000)</f>
        <v/>
      </c>
      <c r="J1000" s="13"/>
      <c r="K1000" s="13"/>
    </row>
    <row r="1001" customFormat="false" ht="15" hidden="false" customHeight="false" outlineLevel="0" collapsed="false">
      <c r="A1001" s="12"/>
      <c r="B1001" s="13"/>
      <c r="C1001" s="13"/>
      <c r="D1001" s="13"/>
      <c r="E1001" s="7" t="str">
        <f aca="false">IF(D1001="","",IFERROR(INDEX(Materiali!$B:$B,MATCH(D1001,Materiali!$A:$A,0)),"codice?"))</f>
        <v/>
      </c>
      <c r="F1001" s="13"/>
      <c r="G1001" s="13"/>
      <c r="H1001" s="9" t="str">
        <f aca="false">IF(D1001="","",IFERROR(INDEX(Materiali!$C:$C,MATCH(D1001,Materiali!$A:$A,0)),0))</f>
        <v/>
      </c>
      <c r="I1001" s="9" t="str">
        <f aca="false">IF(OR(G1001="",H1001=""),"",IF(F1001="Uscita",-1,1)*G1001*H1001)</f>
        <v/>
      </c>
      <c r="J1001" s="13"/>
      <c r="K1001" s="13"/>
    </row>
    <row r="1002" customFormat="false" ht="15" hidden="false" customHeight="false" outlineLevel="0" collapsed="false">
      <c r="A1002" s="12"/>
      <c r="B1002" s="13"/>
      <c r="C1002" s="13"/>
      <c r="D1002" s="13"/>
      <c r="E1002" s="7" t="str">
        <f aca="false">IF(D1002="","",IFERROR(INDEX(Materiali!$B:$B,MATCH(D1002,Materiali!$A:$A,0)),"codice?"))</f>
        <v/>
      </c>
      <c r="F1002" s="13"/>
      <c r="G1002" s="13"/>
      <c r="H1002" s="9" t="str">
        <f aca="false">IF(D1002="","",IFERROR(INDEX(Materiali!$C:$C,MATCH(D1002,Materiali!$A:$A,0)),0))</f>
        <v/>
      </c>
      <c r="I1002" s="9" t="str">
        <f aca="false">IF(OR(G1002="",H1002=""),"",IF(F1002="Uscita",-1,1)*G1002*H1002)</f>
        <v/>
      </c>
      <c r="J1002" s="13"/>
      <c r="K1002" s="13"/>
    </row>
    <row r="1003" customFormat="false" ht="15" hidden="false" customHeight="false" outlineLevel="0" collapsed="false">
      <c r="A1003" s="12"/>
      <c r="B1003" s="13"/>
      <c r="C1003" s="13"/>
      <c r="D1003" s="13"/>
      <c r="E1003" s="7" t="str">
        <f aca="false">IF(D1003="","",IFERROR(INDEX(Materiali!$B:$B,MATCH(D1003,Materiali!$A:$A,0)),"codice?"))</f>
        <v/>
      </c>
      <c r="F1003" s="13"/>
      <c r="G1003" s="13"/>
      <c r="H1003" s="9" t="str">
        <f aca="false">IF(D1003="","",IFERROR(INDEX(Materiali!$C:$C,MATCH(D1003,Materiali!$A:$A,0)),0))</f>
        <v/>
      </c>
      <c r="I1003" s="9" t="str">
        <f aca="false">IF(OR(G1003="",H1003=""),"",IF(F1003="Uscita",-1,1)*G1003*H1003)</f>
        <v/>
      </c>
      <c r="J1003" s="13"/>
      <c r="K1003" s="13"/>
    </row>
    <row r="1004" customFormat="false" ht="15" hidden="false" customHeight="false" outlineLevel="0" collapsed="false">
      <c r="A1004" s="12"/>
      <c r="B1004" s="13"/>
      <c r="C1004" s="13"/>
      <c r="D1004" s="13"/>
      <c r="E1004" s="7" t="str">
        <f aca="false">IF(D1004="","",IFERROR(INDEX(Materiali!$B:$B,MATCH(D1004,Materiali!$A:$A,0)),"codice?"))</f>
        <v/>
      </c>
      <c r="F1004" s="13"/>
      <c r="G1004" s="13"/>
      <c r="H1004" s="9" t="str">
        <f aca="false">IF(D1004="","",IFERROR(INDEX(Materiali!$C:$C,MATCH(D1004,Materiali!$A:$A,0)),0))</f>
        <v/>
      </c>
      <c r="I1004" s="9" t="str">
        <f aca="false">IF(OR(G1004="",H1004=""),"",IF(F1004="Uscita",-1,1)*G1004*H1004)</f>
        <v/>
      </c>
      <c r="J1004" s="13"/>
      <c r="K1004" s="13"/>
    </row>
    <row r="1005" customFormat="false" ht="15" hidden="false" customHeight="false" outlineLevel="0" collapsed="false">
      <c r="A1005" s="12"/>
      <c r="B1005" s="13"/>
      <c r="C1005" s="13"/>
      <c r="D1005" s="13"/>
      <c r="E1005" s="7" t="str">
        <f aca="false">IF(D1005="","",IFERROR(INDEX(Materiali!$B:$B,MATCH(D1005,Materiali!$A:$A,0)),"codice?"))</f>
        <v/>
      </c>
      <c r="F1005" s="13"/>
      <c r="G1005" s="13"/>
      <c r="H1005" s="9" t="str">
        <f aca="false">IF(D1005="","",IFERROR(INDEX(Materiali!$C:$C,MATCH(D1005,Materiali!$A:$A,0)),0))</f>
        <v/>
      </c>
      <c r="I1005" s="9" t="str">
        <f aca="false">IF(OR(G1005="",H1005=""),"",IF(F1005="Uscita",-1,1)*G1005*H1005)</f>
        <v/>
      </c>
      <c r="J1005" s="13"/>
      <c r="K1005" s="13"/>
    </row>
    <row r="1006" customFormat="false" ht="15" hidden="false" customHeight="false" outlineLevel="0" collapsed="false">
      <c r="A1006" s="12"/>
      <c r="B1006" s="13"/>
      <c r="C1006" s="13"/>
      <c r="D1006" s="13"/>
      <c r="E1006" s="7" t="str">
        <f aca="false">IF(D1006="","",IFERROR(INDEX(Materiali!$B:$B,MATCH(D1006,Materiali!$A:$A,0)),"codice?"))</f>
        <v/>
      </c>
      <c r="F1006" s="13"/>
      <c r="G1006" s="13"/>
      <c r="H1006" s="9" t="str">
        <f aca="false">IF(D1006="","",IFERROR(INDEX(Materiali!$C:$C,MATCH(D1006,Materiali!$A:$A,0)),0))</f>
        <v/>
      </c>
      <c r="I1006" s="9" t="str">
        <f aca="false">IF(OR(G1006="",H1006=""),"",IF(F1006="Uscita",-1,1)*G1006*H1006)</f>
        <v/>
      </c>
      <c r="J1006" s="13"/>
      <c r="K1006" s="13"/>
    </row>
    <row r="1007" customFormat="false" ht="15" hidden="false" customHeight="false" outlineLevel="0" collapsed="false">
      <c r="A1007" s="12"/>
      <c r="B1007" s="13"/>
      <c r="C1007" s="13"/>
      <c r="D1007" s="13"/>
      <c r="E1007" s="7" t="str">
        <f aca="false">IF(D1007="","",IFERROR(INDEX(Materiali!$B:$B,MATCH(D1007,Materiali!$A:$A,0)),"codice?"))</f>
        <v/>
      </c>
      <c r="F1007" s="13"/>
      <c r="G1007" s="13"/>
      <c r="H1007" s="9" t="str">
        <f aca="false">IF(D1007="","",IFERROR(INDEX(Materiali!$C:$C,MATCH(D1007,Materiali!$A:$A,0)),0))</f>
        <v/>
      </c>
      <c r="I1007" s="9" t="str">
        <f aca="false">IF(OR(G1007="",H1007=""),"",IF(F1007="Uscita",-1,1)*G1007*H1007)</f>
        <v/>
      </c>
      <c r="J1007" s="13"/>
      <c r="K1007" s="13"/>
    </row>
    <row r="1008" customFormat="false" ht="15" hidden="false" customHeight="false" outlineLevel="0" collapsed="false">
      <c r="A1008" s="12"/>
      <c r="B1008" s="13"/>
      <c r="C1008" s="13"/>
      <c r="D1008" s="13"/>
      <c r="E1008" s="7" t="str">
        <f aca="false">IF(D1008="","",IFERROR(INDEX(Materiali!$B:$B,MATCH(D1008,Materiali!$A:$A,0)),"codice?"))</f>
        <v/>
      </c>
      <c r="F1008" s="13"/>
      <c r="G1008" s="13"/>
      <c r="H1008" s="9" t="str">
        <f aca="false">IF(D1008="","",IFERROR(INDEX(Materiali!$C:$C,MATCH(D1008,Materiali!$A:$A,0)),0))</f>
        <v/>
      </c>
      <c r="I1008" s="9" t="str">
        <f aca="false">IF(OR(G1008="",H1008=""),"",IF(F1008="Uscita",-1,1)*G1008*H1008)</f>
        <v/>
      </c>
      <c r="J1008" s="13"/>
      <c r="K1008" s="13"/>
    </row>
    <row r="1009" customFormat="false" ht="15" hidden="false" customHeight="false" outlineLevel="0" collapsed="false">
      <c r="A1009" s="12"/>
      <c r="B1009" s="13"/>
      <c r="C1009" s="13"/>
      <c r="D1009" s="13"/>
      <c r="E1009" s="7" t="str">
        <f aca="false">IF(D1009="","",IFERROR(INDEX(Materiali!$B:$B,MATCH(D1009,Materiali!$A:$A,0)),"codice?"))</f>
        <v/>
      </c>
      <c r="F1009" s="13"/>
      <c r="G1009" s="13"/>
      <c r="H1009" s="9" t="str">
        <f aca="false">IF(D1009="","",IFERROR(INDEX(Materiali!$C:$C,MATCH(D1009,Materiali!$A:$A,0)),0))</f>
        <v/>
      </c>
      <c r="I1009" s="9" t="str">
        <f aca="false">IF(OR(G1009="",H1009=""),"",IF(F1009="Uscita",-1,1)*G1009*H1009)</f>
        <v/>
      </c>
      <c r="J1009" s="13"/>
      <c r="K1009" s="13"/>
    </row>
    <row r="1010" customFormat="false" ht="15" hidden="false" customHeight="false" outlineLevel="0" collapsed="false">
      <c r="A1010" s="12"/>
      <c r="B1010" s="13"/>
      <c r="C1010" s="13"/>
      <c r="D1010" s="13"/>
      <c r="E1010" s="7" t="str">
        <f aca="false">IF(D1010="","",IFERROR(INDEX(Materiali!$B:$B,MATCH(D1010,Materiali!$A:$A,0)),"codice?"))</f>
        <v/>
      </c>
      <c r="F1010" s="13"/>
      <c r="G1010" s="13"/>
      <c r="H1010" s="9" t="str">
        <f aca="false">IF(D1010="","",IFERROR(INDEX(Materiali!$C:$C,MATCH(D1010,Materiali!$A:$A,0)),0))</f>
        <v/>
      </c>
      <c r="I1010" s="9" t="str">
        <f aca="false">IF(OR(G1010="",H1010=""),"",IF(F1010="Uscita",-1,1)*G1010*H1010)</f>
        <v/>
      </c>
      <c r="J1010" s="13"/>
      <c r="K1010" s="13"/>
    </row>
    <row r="1011" customFormat="false" ht="15" hidden="false" customHeight="false" outlineLevel="0" collapsed="false">
      <c r="A1011" s="12"/>
      <c r="B1011" s="13"/>
      <c r="C1011" s="13"/>
      <c r="D1011" s="13"/>
      <c r="E1011" s="7" t="str">
        <f aca="false">IF(D1011="","",IFERROR(INDEX(Materiali!$B:$B,MATCH(D1011,Materiali!$A:$A,0)),"codice?"))</f>
        <v/>
      </c>
      <c r="F1011" s="13"/>
      <c r="G1011" s="13"/>
      <c r="H1011" s="9" t="str">
        <f aca="false">IF(D1011="","",IFERROR(INDEX(Materiali!$C:$C,MATCH(D1011,Materiali!$A:$A,0)),0))</f>
        <v/>
      </c>
      <c r="I1011" s="9" t="str">
        <f aca="false">IF(OR(G1011="",H1011=""),"",IF(F1011="Uscita",-1,1)*G1011*H1011)</f>
        <v/>
      </c>
      <c r="J1011" s="13"/>
      <c r="K1011" s="13"/>
    </row>
    <row r="1012" customFormat="false" ht="15" hidden="false" customHeight="false" outlineLevel="0" collapsed="false">
      <c r="A1012" s="12"/>
      <c r="B1012" s="13"/>
      <c r="C1012" s="13"/>
      <c r="D1012" s="13"/>
      <c r="E1012" s="7" t="str">
        <f aca="false">IF(D1012="","",IFERROR(INDEX(Materiali!$B:$B,MATCH(D1012,Materiali!$A:$A,0)),"codice?"))</f>
        <v/>
      </c>
      <c r="F1012" s="13"/>
      <c r="G1012" s="13"/>
      <c r="H1012" s="9" t="str">
        <f aca="false">IF(D1012="","",IFERROR(INDEX(Materiali!$C:$C,MATCH(D1012,Materiali!$A:$A,0)),0))</f>
        <v/>
      </c>
      <c r="I1012" s="9" t="str">
        <f aca="false">IF(OR(G1012="",H1012=""),"",IF(F1012="Uscita",-1,1)*G1012*H1012)</f>
        <v/>
      </c>
      <c r="J1012" s="13"/>
      <c r="K1012" s="13"/>
    </row>
    <row r="1013" customFormat="false" ht="15" hidden="false" customHeight="false" outlineLevel="0" collapsed="false">
      <c r="A1013" s="12"/>
      <c r="B1013" s="13"/>
      <c r="C1013" s="13"/>
      <c r="D1013" s="13"/>
      <c r="E1013" s="7" t="str">
        <f aca="false">IF(D1013="","",IFERROR(INDEX(Materiali!$B:$B,MATCH(D1013,Materiali!$A:$A,0)),"codice?"))</f>
        <v/>
      </c>
      <c r="F1013" s="13"/>
      <c r="G1013" s="13"/>
      <c r="H1013" s="9" t="str">
        <f aca="false">IF(D1013="","",IFERROR(INDEX(Materiali!$C:$C,MATCH(D1013,Materiali!$A:$A,0)),0))</f>
        <v/>
      </c>
      <c r="I1013" s="9" t="str">
        <f aca="false">IF(OR(G1013="",H1013=""),"",IF(F1013="Uscita",-1,1)*G1013*H1013)</f>
        <v/>
      </c>
      <c r="J1013" s="13"/>
      <c r="K1013" s="13"/>
    </row>
    <row r="1014" customFormat="false" ht="15" hidden="false" customHeight="false" outlineLevel="0" collapsed="false">
      <c r="A1014" s="12"/>
      <c r="B1014" s="13"/>
      <c r="C1014" s="13"/>
      <c r="D1014" s="13"/>
      <c r="E1014" s="7" t="str">
        <f aca="false">IF(D1014="","",IFERROR(INDEX(Materiali!$B:$B,MATCH(D1014,Materiali!$A:$A,0)),"codice?"))</f>
        <v/>
      </c>
      <c r="F1014" s="13"/>
      <c r="G1014" s="13"/>
      <c r="H1014" s="9" t="str">
        <f aca="false">IF(D1014="","",IFERROR(INDEX(Materiali!$C:$C,MATCH(D1014,Materiali!$A:$A,0)),0))</f>
        <v/>
      </c>
      <c r="I1014" s="9" t="str">
        <f aca="false">IF(OR(G1014="",H1014=""),"",IF(F1014="Uscita",-1,1)*G1014*H1014)</f>
        <v/>
      </c>
      <c r="J1014" s="13"/>
      <c r="K1014" s="13"/>
    </row>
    <row r="1015" customFormat="false" ht="15" hidden="false" customHeight="false" outlineLevel="0" collapsed="false">
      <c r="A1015" s="12"/>
      <c r="B1015" s="13"/>
      <c r="C1015" s="13"/>
      <c r="D1015" s="13"/>
      <c r="E1015" s="7" t="str">
        <f aca="false">IF(D1015="","",IFERROR(INDEX(Materiali!$B:$B,MATCH(D1015,Materiali!$A:$A,0)),"codice?"))</f>
        <v/>
      </c>
      <c r="F1015" s="13"/>
      <c r="G1015" s="13"/>
      <c r="H1015" s="9" t="str">
        <f aca="false">IF(D1015="","",IFERROR(INDEX(Materiali!$C:$C,MATCH(D1015,Materiali!$A:$A,0)),0))</f>
        <v/>
      </c>
      <c r="I1015" s="9" t="str">
        <f aca="false">IF(OR(G1015="",H1015=""),"",IF(F1015="Uscita",-1,1)*G1015*H1015)</f>
        <v/>
      </c>
      <c r="J1015" s="13"/>
      <c r="K1015" s="13"/>
    </row>
    <row r="1016" customFormat="false" ht="15" hidden="false" customHeight="false" outlineLevel="0" collapsed="false">
      <c r="A1016" s="12"/>
      <c r="B1016" s="13"/>
      <c r="C1016" s="13"/>
      <c r="D1016" s="13"/>
      <c r="E1016" s="7" t="str">
        <f aca="false">IF(D1016="","",IFERROR(INDEX(Materiali!$B:$B,MATCH(D1016,Materiali!$A:$A,0)),"codice?"))</f>
        <v/>
      </c>
      <c r="F1016" s="13"/>
      <c r="G1016" s="13"/>
      <c r="H1016" s="9" t="str">
        <f aca="false">IF(D1016="","",IFERROR(INDEX(Materiali!$C:$C,MATCH(D1016,Materiali!$A:$A,0)),0))</f>
        <v/>
      </c>
      <c r="I1016" s="9" t="str">
        <f aca="false">IF(OR(G1016="",H1016=""),"",IF(F1016="Uscita",-1,1)*G1016*H1016)</f>
        <v/>
      </c>
      <c r="J1016" s="13"/>
      <c r="K1016" s="13"/>
    </row>
    <row r="1017" customFormat="false" ht="15" hidden="false" customHeight="false" outlineLevel="0" collapsed="false">
      <c r="A1017" s="12"/>
      <c r="B1017" s="13"/>
      <c r="C1017" s="13"/>
      <c r="D1017" s="13"/>
      <c r="E1017" s="7" t="str">
        <f aca="false">IF(D1017="","",IFERROR(INDEX(Materiali!$B:$B,MATCH(D1017,Materiali!$A:$A,0)),"codice?"))</f>
        <v/>
      </c>
      <c r="F1017" s="13"/>
      <c r="G1017" s="13"/>
      <c r="H1017" s="9" t="str">
        <f aca="false">IF(D1017="","",IFERROR(INDEX(Materiali!$C:$C,MATCH(D1017,Materiali!$A:$A,0)),0))</f>
        <v/>
      </c>
      <c r="I1017" s="9" t="str">
        <f aca="false">IF(OR(G1017="",H1017=""),"",IF(F1017="Uscita",-1,1)*G1017*H1017)</f>
        <v/>
      </c>
      <c r="J1017" s="13"/>
      <c r="K1017" s="13"/>
    </row>
    <row r="1018" customFormat="false" ht="15" hidden="false" customHeight="false" outlineLevel="0" collapsed="false">
      <c r="A1018" s="12"/>
      <c r="B1018" s="13"/>
      <c r="C1018" s="13"/>
      <c r="D1018" s="13"/>
      <c r="E1018" s="7" t="str">
        <f aca="false">IF(D1018="","",IFERROR(INDEX(Materiali!$B:$B,MATCH(D1018,Materiali!$A:$A,0)),"codice?"))</f>
        <v/>
      </c>
      <c r="F1018" s="13"/>
      <c r="G1018" s="13"/>
      <c r="H1018" s="9" t="str">
        <f aca="false">IF(D1018="","",IFERROR(INDEX(Materiali!$C:$C,MATCH(D1018,Materiali!$A:$A,0)),0))</f>
        <v/>
      </c>
      <c r="I1018" s="9" t="str">
        <f aca="false">IF(OR(G1018="",H1018=""),"",IF(F1018="Uscita",-1,1)*G1018*H1018)</f>
        <v/>
      </c>
      <c r="J1018" s="13"/>
      <c r="K1018" s="13"/>
    </row>
    <row r="1019" customFormat="false" ht="15" hidden="false" customHeight="false" outlineLevel="0" collapsed="false">
      <c r="A1019" s="12"/>
      <c r="B1019" s="13"/>
      <c r="C1019" s="13"/>
      <c r="D1019" s="13"/>
      <c r="E1019" s="7" t="str">
        <f aca="false">IF(D1019="","",IFERROR(INDEX(Materiali!$B:$B,MATCH(D1019,Materiali!$A:$A,0)),"codice?"))</f>
        <v/>
      </c>
      <c r="F1019" s="13"/>
      <c r="G1019" s="13"/>
      <c r="H1019" s="9" t="str">
        <f aca="false">IF(D1019="","",IFERROR(INDEX(Materiali!$C:$C,MATCH(D1019,Materiali!$A:$A,0)),0))</f>
        <v/>
      </c>
      <c r="I1019" s="9" t="str">
        <f aca="false">IF(OR(G1019="",H1019=""),"",IF(F1019="Uscita",-1,1)*G1019*H1019)</f>
        <v/>
      </c>
      <c r="J1019" s="13"/>
      <c r="K1019" s="13"/>
    </row>
    <row r="1020" customFormat="false" ht="15" hidden="false" customHeight="false" outlineLevel="0" collapsed="false">
      <c r="A1020" s="12"/>
      <c r="B1020" s="13"/>
      <c r="C1020" s="13"/>
      <c r="D1020" s="13"/>
      <c r="E1020" s="7" t="str">
        <f aca="false">IF(D1020="","",IFERROR(INDEX(Materiali!$B:$B,MATCH(D1020,Materiali!$A:$A,0)),"codice?"))</f>
        <v/>
      </c>
      <c r="F1020" s="13"/>
      <c r="G1020" s="13"/>
      <c r="H1020" s="9" t="str">
        <f aca="false">IF(D1020="","",IFERROR(INDEX(Materiali!$C:$C,MATCH(D1020,Materiali!$A:$A,0)),0))</f>
        <v/>
      </c>
      <c r="I1020" s="9" t="str">
        <f aca="false">IF(OR(G1020="",H1020=""),"",IF(F1020="Uscita",-1,1)*G1020*H1020)</f>
        <v/>
      </c>
      <c r="J1020" s="13"/>
      <c r="K1020" s="13"/>
    </row>
    <row r="1021" customFormat="false" ht="15" hidden="false" customHeight="false" outlineLevel="0" collapsed="false">
      <c r="A1021" s="12"/>
      <c r="B1021" s="13"/>
      <c r="C1021" s="13"/>
      <c r="D1021" s="13"/>
      <c r="E1021" s="7" t="str">
        <f aca="false">IF(D1021="","",IFERROR(INDEX(Materiali!$B:$B,MATCH(D1021,Materiali!$A:$A,0)),"codice?"))</f>
        <v/>
      </c>
      <c r="F1021" s="13"/>
      <c r="G1021" s="13"/>
      <c r="H1021" s="9" t="str">
        <f aca="false">IF(D1021="","",IFERROR(INDEX(Materiali!$C:$C,MATCH(D1021,Materiali!$A:$A,0)),0))</f>
        <v/>
      </c>
      <c r="I1021" s="9" t="str">
        <f aca="false">IF(OR(G1021="",H1021=""),"",IF(F1021="Uscita",-1,1)*G1021*H1021)</f>
        <v/>
      </c>
      <c r="J1021" s="13"/>
      <c r="K1021" s="13"/>
    </row>
    <row r="1022" customFormat="false" ht="15" hidden="false" customHeight="false" outlineLevel="0" collapsed="false">
      <c r="A1022" s="12"/>
      <c r="B1022" s="13"/>
      <c r="C1022" s="13"/>
      <c r="D1022" s="13"/>
      <c r="E1022" s="7" t="str">
        <f aca="false">IF(D1022="","",IFERROR(INDEX(Materiali!$B:$B,MATCH(D1022,Materiali!$A:$A,0)),"codice?"))</f>
        <v/>
      </c>
      <c r="F1022" s="13"/>
      <c r="G1022" s="13"/>
      <c r="H1022" s="9" t="str">
        <f aca="false">IF(D1022="","",IFERROR(INDEX(Materiali!$C:$C,MATCH(D1022,Materiali!$A:$A,0)),0))</f>
        <v/>
      </c>
      <c r="I1022" s="9" t="str">
        <f aca="false">IF(OR(G1022="",H1022=""),"",IF(F1022="Uscita",-1,1)*G1022*H1022)</f>
        <v/>
      </c>
      <c r="J1022" s="13"/>
      <c r="K1022" s="13"/>
    </row>
    <row r="1023" customFormat="false" ht="15" hidden="false" customHeight="false" outlineLevel="0" collapsed="false">
      <c r="A1023" s="12"/>
      <c r="B1023" s="13"/>
      <c r="C1023" s="13"/>
      <c r="D1023" s="13"/>
      <c r="E1023" s="7" t="str">
        <f aca="false">IF(D1023="","",IFERROR(INDEX(Materiali!$B:$B,MATCH(D1023,Materiali!$A:$A,0)),"codice?"))</f>
        <v/>
      </c>
      <c r="F1023" s="13"/>
      <c r="G1023" s="13"/>
      <c r="H1023" s="9" t="str">
        <f aca="false">IF(D1023="","",IFERROR(INDEX(Materiali!$C:$C,MATCH(D1023,Materiali!$A:$A,0)),0))</f>
        <v/>
      </c>
      <c r="I1023" s="9" t="str">
        <f aca="false">IF(OR(G1023="",H1023=""),"",IF(F1023="Uscita",-1,1)*G1023*H1023)</f>
        <v/>
      </c>
      <c r="J1023" s="13"/>
      <c r="K1023" s="13"/>
    </row>
    <row r="1024" customFormat="false" ht="15" hidden="false" customHeight="false" outlineLevel="0" collapsed="false">
      <c r="A1024" s="12"/>
      <c r="B1024" s="13"/>
      <c r="C1024" s="13"/>
      <c r="D1024" s="13"/>
      <c r="E1024" s="7" t="str">
        <f aca="false">IF(D1024="","",IFERROR(INDEX(Materiali!$B:$B,MATCH(D1024,Materiali!$A:$A,0)),"codice?"))</f>
        <v/>
      </c>
      <c r="F1024" s="13"/>
      <c r="G1024" s="13"/>
      <c r="H1024" s="9" t="str">
        <f aca="false">IF(D1024="","",IFERROR(INDEX(Materiali!$C:$C,MATCH(D1024,Materiali!$A:$A,0)),0))</f>
        <v/>
      </c>
      <c r="I1024" s="9" t="str">
        <f aca="false">IF(OR(G1024="",H1024=""),"",IF(F1024="Uscita",-1,1)*G1024*H1024)</f>
        <v/>
      </c>
      <c r="J1024" s="13"/>
      <c r="K1024" s="13"/>
    </row>
    <row r="1025" customFormat="false" ht="15" hidden="false" customHeight="false" outlineLevel="0" collapsed="false">
      <c r="A1025" s="12"/>
      <c r="B1025" s="13"/>
      <c r="C1025" s="13"/>
      <c r="D1025" s="13"/>
      <c r="E1025" s="7" t="str">
        <f aca="false">IF(D1025="","",IFERROR(INDEX(Materiali!$B:$B,MATCH(D1025,Materiali!$A:$A,0)),"codice?"))</f>
        <v/>
      </c>
      <c r="F1025" s="13"/>
      <c r="G1025" s="13"/>
      <c r="H1025" s="9" t="str">
        <f aca="false">IF(D1025="","",IFERROR(INDEX(Materiali!$C:$C,MATCH(D1025,Materiali!$A:$A,0)),0))</f>
        <v/>
      </c>
      <c r="I1025" s="9" t="str">
        <f aca="false">IF(OR(G1025="",H1025=""),"",IF(F1025="Uscita",-1,1)*G1025*H1025)</f>
        <v/>
      </c>
      <c r="J1025" s="13"/>
      <c r="K1025" s="13"/>
    </row>
    <row r="1026" customFormat="false" ht="15" hidden="false" customHeight="false" outlineLevel="0" collapsed="false">
      <c r="A1026" s="12"/>
      <c r="B1026" s="13"/>
      <c r="C1026" s="13"/>
      <c r="D1026" s="13"/>
      <c r="E1026" s="7" t="str">
        <f aca="false">IF(D1026="","",IFERROR(INDEX(Materiali!$B:$B,MATCH(D1026,Materiali!$A:$A,0)),"codice?"))</f>
        <v/>
      </c>
      <c r="F1026" s="13"/>
      <c r="G1026" s="13"/>
      <c r="H1026" s="9" t="str">
        <f aca="false">IF(D1026="","",IFERROR(INDEX(Materiali!$C:$C,MATCH(D1026,Materiali!$A:$A,0)),0))</f>
        <v/>
      </c>
      <c r="I1026" s="9" t="str">
        <f aca="false">IF(OR(G1026="",H1026=""),"",IF(F1026="Uscita",-1,1)*G1026*H1026)</f>
        <v/>
      </c>
      <c r="J1026" s="13"/>
      <c r="K1026" s="13"/>
    </row>
    <row r="1027" customFormat="false" ht="15" hidden="false" customHeight="false" outlineLevel="0" collapsed="false">
      <c r="A1027" s="12"/>
      <c r="B1027" s="13"/>
      <c r="C1027" s="13"/>
      <c r="D1027" s="13"/>
      <c r="E1027" s="7" t="str">
        <f aca="false">IF(D1027="","",IFERROR(INDEX(Materiali!$B:$B,MATCH(D1027,Materiali!$A:$A,0)),"codice?"))</f>
        <v/>
      </c>
      <c r="F1027" s="13"/>
      <c r="G1027" s="13"/>
      <c r="H1027" s="9" t="str">
        <f aca="false">IF(D1027="","",IFERROR(INDEX(Materiali!$C:$C,MATCH(D1027,Materiali!$A:$A,0)),0))</f>
        <v/>
      </c>
      <c r="I1027" s="9" t="str">
        <f aca="false">IF(OR(G1027="",H1027=""),"",IF(F1027="Uscita",-1,1)*G1027*H1027)</f>
        <v/>
      </c>
      <c r="J1027" s="13"/>
      <c r="K1027" s="13"/>
    </row>
    <row r="1028" customFormat="false" ht="15" hidden="false" customHeight="false" outlineLevel="0" collapsed="false">
      <c r="A1028" s="12"/>
      <c r="B1028" s="13"/>
      <c r="C1028" s="13"/>
      <c r="D1028" s="13"/>
      <c r="E1028" s="7" t="str">
        <f aca="false">IF(D1028="","",IFERROR(INDEX(Materiali!$B:$B,MATCH(D1028,Materiali!$A:$A,0)),"codice?"))</f>
        <v/>
      </c>
      <c r="F1028" s="13"/>
      <c r="G1028" s="13"/>
      <c r="H1028" s="9" t="str">
        <f aca="false">IF(D1028="","",IFERROR(INDEX(Materiali!$C:$C,MATCH(D1028,Materiali!$A:$A,0)),0))</f>
        <v/>
      </c>
      <c r="I1028" s="9" t="str">
        <f aca="false">IF(OR(G1028="",H1028=""),"",IF(F1028="Uscita",-1,1)*G1028*H1028)</f>
        <v/>
      </c>
      <c r="J1028" s="13"/>
      <c r="K1028" s="13"/>
    </row>
    <row r="1029" customFormat="false" ht="15" hidden="false" customHeight="false" outlineLevel="0" collapsed="false">
      <c r="A1029" s="12"/>
      <c r="B1029" s="13"/>
      <c r="C1029" s="13"/>
      <c r="D1029" s="13"/>
      <c r="E1029" s="7" t="str">
        <f aca="false">IF(D1029="","",IFERROR(INDEX(Materiali!$B:$B,MATCH(D1029,Materiali!$A:$A,0)),"codice?"))</f>
        <v/>
      </c>
      <c r="F1029" s="13"/>
      <c r="G1029" s="13"/>
      <c r="H1029" s="9" t="str">
        <f aca="false">IF(D1029="","",IFERROR(INDEX(Materiali!$C:$C,MATCH(D1029,Materiali!$A:$A,0)),0))</f>
        <v/>
      </c>
      <c r="I1029" s="9" t="str">
        <f aca="false">IF(OR(G1029="",H1029=""),"",IF(F1029="Uscita",-1,1)*G1029*H1029)</f>
        <v/>
      </c>
      <c r="J1029" s="13"/>
      <c r="K1029" s="13"/>
    </row>
    <row r="1030" customFormat="false" ht="15" hidden="false" customHeight="false" outlineLevel="0" collapsed="false">
      <c r="A1030" s="12"/>
      <c r="B1030" s="13"/>
      <c r="C1030" s="13"/>
      <c r="D1030" s="13"/>
      <c r="E1030" s="7" t="str">
        <f aca="false">IF(D1030="","",IFERROR(INDEX(Materiali!$B:$B,MATCH(D1030,Materiali!$A:$A,0)),"codice?"))</f>
        <v/>
      </c>
      <c r="F1030" s="13"/>
      <c r="G1030" s="13"/>
      <c r="H1030" s="9" t="str">
        <f aca="false">IF(D1030="","",IFERROR(INDEX(Materiali!$C:$C,MATCH(D1030,Materiali!$A:$A,0)),0))</f>
        <v/>
      </c>
      <c r="I1030" s="9" t="str">
        <f aca="false">IF(OR(G1030="",H1030=""),"",IF(F1030="Uscita",-1,1)*G1030*H1030)</f>
        <v/>
      </c>
      <c r="J1030" s="13"/>
      <c r="K1030" s="13"/>
    </row>
    <row r="1031" customFormat="false" ht="15" hidden="false" customHeight="false" outlineLevel="0" collapsed="false">
      <c r="A1031" s="12"/>
      <c r="B1031" s="13"/>
      <c r="C1031" s="13"/>
      <c r="D1031" s="13"/>
      <c r="E1031" s="7" t="str">
        <f aca="false">IF(D1031="","",IFERROR(INDEX(Materiali!$B:$B,MATCH(D1031,Materiali!$A:$A,0)),"codice?"))</f>
        <v/>
      </c>
      <c r="F1031" s="13"/>
      <c r="G1031" s="13"/>
      <c r="H1031" s="9" t="str">
        <f aca="false">IF(D1031="","",IFERROR(INDEX(Materiali!$C:$C,MATCH(D1031,Materiali!$A:$A,0)),0))</f>
        <v/>
      </c>
      <c r="I1031" s="9" t="str">
        <f aca="false">IF(OR(G1031="",H1031=""),"",IF(F1031="Uscita",-1,1)*G1031*H1031)</f>
        <v/>
      </c>
      <c r="J1031" s="13"/>
      <c r="K1031" s="13"/>
    </row>
    <row r="1032" customFormat="false" ht="15" hidden="false" customHeight="false" outlineLevel="0" collapsed="false">
      <c r="A1032" s="12"/>
      <c r="B1032" s="13"/>
      <c r="C1032" s="13"/>
      <c r="D1032" s="13"/>
      <c r="E1032" s="7" t="str">
        <f aca="false">IF(D1032="","",IFERROR(INDEX(Materiali!$B:$B,MATCH(D1032,Materiali!$A:$A,0)),"codice?"))</f>
        <v/>
      </c>
      <c r="F1032" s="13"/>
      <c r="G1032" s="13"/>
      <c r="H1032" s="9" t="str">
        <f aca="false">IF(D1032="","",IFERROR(INDEX(Materiali!$C:$C,MATCH(D1032,Materiali!$A:$A,0)),0))</f>
        <v/>
      </c>
      <c r="I1032" s="9" t="str">
        <f aca="false">IF(OR(G1032="",H1032=""),"",IF(F1032="Uscita",-1,1)*G1032*H1032)</f>
        <v/>
      </c>
      <c r="J1032" s="13"/>
      <c r="K1032" s="13"/>
    </row>
    <row r="1033" customFormat="false" ht="15" hidden="false" customHeight="false" outlineLevel="0" collapsed="false">
      <c r="A1033" s="12"/>
      <c r="B1033" s="13"/>
      <c r="C1033" s="13"/>
      <c r="D1033" s="13"/>
      <c r="E1033" s="7" t="str">
        <f aca="false">IF(D1033="","",IFERROR(INDEX(Materiali!$B:$B,MATCH(D1033,Materiali!$A:$A,0)),"codice?"))</f>
        <v/>
      </c>
      <c r="F1033" s="13"/>
      <c r="G1033" s="13"/>
      <c r="H1033" s="9" t="str">
        <f aca="false">IF(D1033="","",IFERROR(INDEX(Materiali!$C:$C,MATCH(D1033,Materiali!$A:$A,0)),0))</f>
        <v/>
      </c>
      <c r="I1033" s="9" t="str">
        <f aca="false">IF(OR(G1033="",H1033=""),"",IF(F1033="Uscita",-1,1)*G1033*H1033)</f>
        <v/>
      </c>
      <c r="J1033" s="13"/>
      <c r="K1033" s="13"/>
    </row>
    <row r="1034" customFormat="false" ht="15" hidden="false" customHeight="false" outlineLevel="0" collapsed="false">
      <c r="A1034" s="12"/>
      <c r="B1034" s="13"/>
      <c r="C1034" s="13"/>
      <c r="D1034" s="13"/>
      <c r="E1034" s="7" t="str">
        <f aca="false">IF(D1034="","",IFERROR(INDEX(Materiali!$B:$B,MATCH(D1034,Materiali!$A:$A,0)),"codice?"))</f>
        <v/>
      </c>
      <c r="F1034" s="13"/>
      <c r="G1034" s="13"/>
      <c r="H1034" s="9" t="str">
        <f aca="false">IF(D1034="","",IFERROR(INDEX(Materiali!$C:$C,MATCH(D1034,Materiali!$A:$A,0)),0))</f>
        <v/>
      </c>
      <c r="I1034" s="9" t="str">
        <f aca="false">IF(OR(G1034="",H1034=""),"",IF(F1034="Uscita",-1,1)*G1034*H1034)</f>
        <v/>
      </c>
      <c r="J1034" s="13"/>
      <c r="K1034" s="13"/>
    </row>
    <row r="1035" customFormat="false" ht="15" hidden="false" customHeight="false" outlineLevel="0" collapsed="false">
      <c r="A1035" s="12"/>
      <c r="B1035" s="13"/>
      <c r="C1035" s="13"/>
      <c r="D1035" s="13"/>
      <c r="E1035" s="7" t="str">
        <f aca="false">IF(D1035="","",IFERROR(INDEX(Materiali!$B:$B,MATCH(D1035,Materiali!$A:$A,0)),"codice?"))</f>
        <v/>
      </c>
      <c r="F1035" s="13"/>
      <c r="G1035" s="13"/>
      <c r="H1035" s="9" t="str">
        <f aca="false">IF(D1035="","",IFERROR(INDEX(Materiali!$C:$C,MATCH(D1035,Materiali!$A:$A,0)),0))</f>
        <v/>
      </c>
      <c r="I1035" s="9" t="str">
        <f aca="false">IF(OR(G1035="",H1035=""),"",IF(F1035="Uscita",-1,1)*G1035*H1035)</f>
        <v/>
      </c>
      <c r="J1035" s="13"/>
      <c r="K1035" s="13"/>
    </row>
    <row r="1036" customFormat="false" ht="15" hidden="false" customHeight="false" outlineLevel="0" collapsed="false">
      <c r="A1036" s="12"/>
      <c r="B1036" s="13"/>
      <c r="C1036" s="13"/>
      <c r="D1036" s="13"/>
      <c r="E1036" s="7" t="str">
        <f aca="false">IF(D1036="","",IFERROR(INDEX(Materiali!$B:$B,MATCH(D1036,Materiali!$A:$A,0)),"codice?"))</f>
        <v/>
      </c>
      <c r="F1036" s="13"/>
      <c r="G1036" s="13"/>
      <c r="H1036" s="9" t="str">
        <f aca="false">IF(D1036="","",IFERROR(INDEX(Materiali!$C:$C,MATCH(D1036,Materiali!$A:$A,0)),0))</f>
        <v/>
      </c>
      <c r="I1036" s="9" t="str">
        <f aca="false">IF(OR(G1036="",H1036=""),"",IF(F1036="Uscita",-1,1)*G1036*H1036)</f>
        <v/>
      </c>
      <c r="J1036" s="13"/>
      <c r="K1036" s="13"/>
    </row>
    <row r="1037" customFormat="false" ht="15" hidden="false" customHeight="false" outlineLevel="0" collapsed="false">
      <c r="A1037" s="12"/>
      <c r="B1037" s="13"/>
      <c r="C1037" s="13"/>
      <c r="D1037" s="13"/>
      <c r="E1037" s="7" t="str">
        <f aca="false">IF(D1037="","",IFERROR(INDEX(Materiali!$B:$B,MATCH(D1037,Materiali!$A:$A,0)),"codice?"))</f>
        <v/>
      </c>
      <c r="F1037" s="13"/>
      <c r="G1037" s="13"/>
      <c r="H1037" s="9" t="str">
        <f aca="false">IF(D1037="","",IFERROR(INDEX(Materiali!$C:$C,MATCH(D1037,Materiali!$A:$A,0)),0))</f>
        <v/>
      </c>
      <c r="I1037" s="9" t="str">
        <f aca="false">IF(OR(G1037="",H1037=""),"",IF(F1037="Uscita",-1,1)*G1037*H1037)</f>
        <v/>
      </c>
      <c r="J1037" s="13"/>
      <c r="K1037" s="13"/>
    </row>
    <row r="1038" customFormat="false" ht="15" hidden="false" customHeight="false" outlineLevel="0" collapsed="false">
      <c r="A1038" s="12"/>
      <c r="B1038" s="13"/>
      <c r="C1038" s="13"/>
      <c r="D1038" s="13"/>
      <c r="E1038" s="7" t="str">
        <f aca="false">IF(D1038="","",IFERROR(INDEX(Materiali!$B:$B,MATCH(D1038,Materiali!$A:$A,0)),"codice?"))</f>
        <v/>
      </c>
      <c r="F1038" s="13"/>
      <c r="G1038" s="13"/>
      <c r="H1038" s="9" t="str">
        <f aca="false">IF(D1038="","",IFERROR(INDEX(Materiali!$C:$C,MATCH(D1038,Materiali!$A:$A,0)),0))</f>
        <v/>
      </c>
      <c r="I1038" s="9" t="str">
        <f aca="false">IF(OR(G1038="",H1038=""),"",IF(F1038="Uscita",-1,1)*G1038*H1038)</f>
        <v/>
      </c>
      <c r="J1038" s="13"/>
      <c r="K1038" s="13"/>
    </row>
    <row r="1039" customFormat="false" ht="15" hidden="false" customHeight="false" outlineLevel="0" collapsed="false">
      <c r="A1039" s="12"/>
      <c r="B1039" s="13"/>
      <c r="C1039" s="13"/>
      <c r="D1039" s="13"/>
      <c r="E1039" s="7" t="str">
        <f aca="false">IF(D1039="","",IFERROR(INDEX(Materiali!$B:$B,MATCH(D1039,Materiali!$A:$A,0)),"codice?"))</f>
        <v/>
      </c>
      <c r="F1039" s="13"/>
      <c r="G1039" s="13"/>
      <c r="H1039" s="9" t="str">
        <f aca="false">IF(D1039="","",IFERROR(INDEX(Materiali!$C:$C,MATCH(D1039,Materiali!$A:$A,0)),0))</f>
        <v/>
      </c>
      <c r="I1039" s="9" t="str">
        <f aca="false">IF(OR(G1039="",H1039=""),"",IF(F1039="Uscita",-1,1)*G1039*H1039)</f>
        <v/>
      </c>
      <c r="J1039" s="13"/>
      <c r="K1039" s="13"/>
    </row>
    <row r="1040" customFormat="false" ht="15" hidden="false" customHeight="false" outlineLevel="0" collapsed="false">
      <c r="A1040" s="12"/>
      <c r="B1040" s="13"/>
      <c r="C1040" s="13"/>
      <c r="D1040" s="13"/>
      <c r="E1040" s="7" t="str">
        <f aca="false">IF(D1040="","",IFERROR(INDEX(Materiali!$B:$B,MATCH(D1040,Materiali!$A:$A,0)),"codice?"))</f>
        <v/>
      </c>
      <c r="F1040" s="13"/>
      <c r="G1040" s="13"/>
      <c r="H1040" s="9" t="str">
        <f aca="false">IF(D1040="","",IFERROR(INDEX(Materiali!$C:$C,MATCH(D1040,Materiali!$A:$A,0)),0))</f>
        <v/>
      </c>
      <c r="I1040" s="9" t="str">
        <f aca="false">IF(OR(G1040="",H1040=""),"",IF(F1040="Uscita",-1,1)*G1040*H1040)</f>
        <v/>
      </c>
      <c r="J1040" s="13"/>
      <c r="K1040" s="13"/>
    </row>
    <row r="1041" customFormat="false" ht="15" hidden="false" customHeight="false" outlineLevel="0" collapsed="false">
      <c r="A1041" s="12"/>
      <c r="B1041" s="13"/>
      <c r="C1041" s="13"/>
      <c r="D1041" s="13"/>
      <c r="E1041" s="7" t="str">
        <f aca="false">IF(D1041="","",IFERROR(INDEX(Materiali!$B:$B,MATCH(D1041,Materiali!$A:$A,0)),"codice?"))</f>
        <v/>
      </c>
      <c r="F1041" s="13"/>
      <c r="G1041" s="13"/>
      <c r="H1041" s="9" t="str">
        <f aca="false">IF(D1041="","",IFERROR(INDEX(Materiali!$C:$C,MATCH(D1041,Materiali!$A:$A,0)),0))</f>
        <v/>
      </c>
      <c r="I1041" s="9" t="str">
        <f aca="false">IF(OR(G1041="",H1041=""),"",IF(F1041="Uscita",-1,1)*G1041*H1041)</f>
        <v/>
      </c>
      <c r="J1041" s="13"/>
      <c r="K1041" s="13"/>
    </row>
    <row r="1042" customFormat="false" ht="15" hidden="false" customHeight="false" outlineLevel="0" collapsed="false">
      <c r="A1042" s="12"/>
      <c r="B1042" s="13"/>
      <c r="C1042" s="13"/>
      <c r="D1042" s="13"/>
      <c r="E1042" s="7" t="str">
        <f aca="false">IF(D1042="","",IFERROR(INDEX(Materiali!$B:$B,MATCH(D1042,Materiali!$A:$A,0)),"codice?"))</f>
        <v/>
      </c>
      <c r="F1042" s="13"/>
      <c r="G1042" s="13"/>
      <c r="H1042" s="9" t="str">
        <f aca="false">IF(D1042="","",IFERROR(INDEX(Materiali!$C:$C,MATCH(D1042,Materiali!$A:$A,0)),0))</f>
        <v/>
      </c>
      <c r="I1042" s="9" t="str">
        <f aca="false">IF(OR(G1042="",H1042=""),"",IF(F1042="Uscita",-1,1)*G1042*H1042)</f>
        <v/>
      </c>
      <c r="J1042" s="13"/>
      <c r="K1042" s="13"/>
    </row>
    <row r="1043" customFormat="false" ht="15" hidden="false" customHeight="false" outlineLevel="0" collapsed="false">
      <c r="A1043" s="12"/>
      <c r="B1043" s="13"/>
      <c r="C1043" s="13"/>
      <c r="D1043" s="13"/>
      <c r="E1043" s="7" t="str">
        <f aca="false">IF(D1043="","",IFERROR(INDEX(Materiali!$B:$B,MATCH(D1043,Materiali!$A:$A,0)),"codice?"))</f>
        <v/>
      </c>
      <c r="F1043" s="13"/>
      <c r="G1043" s="13"/>
      <c r="H1043" s="9" t="str">
        <f aca="false">IF(D1043="","",IFERROR(INDEX(Materiali!$C:$C,MATCH(D1043,Materiali!$A:$A,0)),0))</f>
        <v/>
      </c>
      <c r="I1043" s="9" t="str">
        <f aca="false">IF(OR(G1043="",H1043=""),"",IF(F1043="Uscita",-1,1)*G1043*H1043)</f>
        <v/>
      </c>
      <c r="J1043" s="13"/>
      <c r="K1043" s="13"/>
    </row>
    <row r="1044" customFormat="false" ht="15" hidden="false" customHeight="false" outlineLevel="0" collapsed="false">
      <c r="A1044" s="12"/>
      <c r="B1044" s="13"/>
      <c r="C1044" s="13"/>
      <c r="D1044" s="13"/>
      <c r="E1044" s="7" t="str">
        <f aca="false">IF(D1044="","",IFERROR(INDEX(Materiali!$B:$B,MATCH(D1044,Materiali!$A:$A,0)),"codice?"))</f>
        <v/>
      </c>
      <c r="F1044" s="13"/>
      <c r="G1044" s="13"/>
      <c r="H1044" s="9" t="str">
        <f aca="false">IF(D1044="","",IFERROR(INDEX(Materiali!$C:$C,MATCH(D1044,Materiali!$A:$A,0)),0))</f>
        <v/>
      </c>
      <c r="I1044" s="9" t="str">
        <f aca="false">IF(OR(G1044="",H1044=""),"",IF(F1044="Uscita",-1,1)*G1044*H1044)</f>
        <v/>
      </c>
      <c r="J1044" s="13"/>
      <c r="K1044" s="13"/>
    </row>
    <row r="1045" customFormat="false" ht="15" hidden="false" customHeight="false" outlineLevel="0" collapsed="false">
      <c r="A1045" s="12"/>
      <c r="B1045" s="13"/>
      <c r="C1045" s="13"/>
      <c r="D1045" s="13"/>
      <c r="E1045" s="7" t="str">
        <f aca="false">IF(D1045="","",IFERROR(INDEX(Materiali!$B:$B,MATCH(D1045,Materiali!$A:$A,0)),"codice?"))</f>
        <v/>
      </c>
      <c r="F1045" s="13"/>
      <c r="G1045" s="13"/>
      <c r="H1045" s="9" t="str">
        <f aca="false">IF(D1045="","",IFERROR(INDEX(Materiali!$C:$C,MATCH(D1045,Materiali!$A:$A,0)),0))</f>
        <v/>
      </c>
      <c r="I1045" s="9" t="str">
        <f aca="false">IF(OR(G1045="",H1045=""),"",IF(F1045="Uscita",-1,1)*G1045*H1045)</f>
        <v/>
      </c>
      <c r="J1045" s="13"/>
      <c r="K1045" s="13"/>
    </row>
    <row r="1046" customFormat="false" ht="15" hidden="false" customHeight="false" outlineLevel="0" collapsed="false">
      <c r="A1046" s="12"/>
      <c r="B1046" s="13"/>
      <c r="C1046" s="13"/>
      <c r="D1046" s="13"/>
      <c r="E1046" s="7" t="str">
        <f aca="false">IF(D1046="","",IFERROR(INDEX(Materiali!$B:$B,MATCH(D1046,Materiali!$A:$A,0)),"codice?"))</f>
        <v/>
      </c>
      <c r="F1046" s="13"/>
      <c r="G1046" s="13"/>
      <c r="H1046" s="9" t="str">
        <f aca="false">IF(D1046="","",IFERROR(INDEX(Materiali!$C:$C,MATCH(D1046,Materiali!$A:$A,0)),0))</f>
        <v/>
      </c>
      <c r="I1046" s="9" t="str">
        <f aca="false">IF(OR(G1046="",H1046=""),"",IF(F1046="Uscita",-1,1)*G1046*H1046)</f>
        <v/>
      </c>
      <c r="J1046" s="13"/>
      <c r="K1046" s="13"/>
    </row>
    <row r="1047" customFormat="false" ht="15" hidden="false" customHeight="false" outlineLevel="0" collapsed="false">
      <c r="A1047" s="12"/>
      <c r="B1047" s="13"/>
      <c r="C1047" s="13"/>
      <c r="D1047" s="13"/>
      <c r="E1047" s="7" t="str">
        <f aca="false">IF(D1047="","",IFERROR(INDEX(Materiali!$B:$B,MATCH(D1047,Materiali!$A:$A,0)),"codice?"))</f>
        <v/>
      </c>
      <c r="F1047" s="13"/>
      <c r="G1047" s="13"/>
      <c r="H1047" s="9" t="str">
        <f aca="false">IF(D1047="","",IFERROR(INDEX(Materiali!$C:$C,MATCH(D1047,Materiali!$A:$A,0)),0))</f>
        <v/>
      </c>
      <c r="I1047" s="9" t="str">
        <f aca="false">IF(OR(G1047="",H1047=""),"",IF(F1047="Uscita",-1,1)*G1047*H1047)</f>
        <v/>
      </c>
      <c r="J1047" s="13"/>
      <c r="K1047" s="13"/>
    </row>
    <row r="1048" customFormat="false" ht="15" hidden="false" customHeight="false" outlineLevel="0" collapsed="false">
      <c r="A1048" s="12"/>
      <c r="B1048" s="13"/>
      <c r="C1048" s="13"/>
      <c r="D1048" s="13"/>
      <c r="E1048" s="7" t="str">
        <f aca="false">IF(D1048="","",IFERROR(INDEX(Materiali!$B:$B,MATCH(D1048,Materiali!$A:$A,0)),"codice?"))</f>
        <v/>
      </c>
      <c r="F1048" s="13"/>
      <c r="G1048" s="13"/>
      <c r="H1048" s="9" t="str">
        <f aca="false">IF(D1048="","",IFERROR(INDEX(Materiali!$C:$C,MATCH(D1048,Materiali!$A:$A,0)),0))</f>
        <v/>
      </c>
      <c r="I1048" s="9" t="str">
        <f aca="false">IF(OR(G1048="",H1048=""),"",IF(F1048="Uscita",-1,1)*G1048*H1048)</f>
        <v/>
      </c>
      <c r="J1048" s="13"/>
      <c r="K1048" s="13"/>
    </row>
    <row r="1049" customFormat="false" ht="15" hidden="false" customHeight="false" outlineLevel="0" collapsed="false">
      <c r="A1049" s="12"/>
      <c r="B1049" s="13"/>
      <c r="C1049" s="13"/>
      <c r="D1049" s="13"/>
      <c r="E1049" s="7" t="str">
        <f aca="false">IF(D1049="","",IFERROR(INDEX(Materiali!$B:$B,MATCH(D1049,Materiali!$A:$A,0)),"codice?"))</f>
        <v/>
      </c>
      <c r="F1049" s="13"/>
      <c r="G1049" s="13"/>
      <c r="H1049" s="9" t="str">
        <f aca="false">IF(D1049="","",IFERROR(INDEX(Materiali!$C:$C,MATCH(D1049,Materiali!$A:$A,0)),0))</f>
        <v/>
      </c>
      <c r="I1049" s="9" t="str">
        <f aca="false">IF(OR(G1049="",H1049=""),"",IF(F1049="Uscita",-1,1)*G1049*H1049)</f>
        <v/>
      </c>
      <c r="J1049" s="13"/>
      <c r="K1049" s="13"/>
    </row>
    <row r="1050" customFormat="false" ht="15" hidden="false" customHeight="false" outlineLevel="0" collapsed="false">
      <c r="A1050" s="12"/>
      <c r="B1050" s="13"/>
      <c r="C1050" s="13"/>
      <c r="D1050" s="13"/>
      <c r="E1050" s="7" t="str">
        <f aca="false">IF(D1050="","",IFERROR(INDEX(Materiali!$B:$B,MATCH(D1050,Materiali!$A:$A,0)),"codice?"))</f>
        <v/>
      </c>
      <c r="F1050" s="13"/>
      <c r="G1050" s="13"/>
      <c r="H1050" s="9" t="str">
        <f aca="false">IF(D1050="","",IFERROR(INDEX(Materiali!$C:$C,MATCH(D1050,Materiali!$A:$A,0)),0))</f>
        <v/>
      </c>
      <c r="I1050" s="9" t="str">
        <f aca="false">IF(OR(G1050="",H1050=""),"",IF(F1050="Uscita",-1,1)*G1050*H1050)</f>
        <v/>
      </c>
      <c r="J1050" s="13"/>
      <c r="K1050" s="13"/>
    </row>
    <row r="1051" customFormat="false" ht="15" hidden="false" customHeight="false" outlineLevel="0" collapsed="false">
      <c r="A1051" s="12"/>
      <c r="B1051" s="13"/>
      <c r="C1051" s="13"/>
      <c r="D1051" s="13"/>
      <c r="E1051" s="7" t="str">
        <f aca="false">IF(D1051="","",IFERROR(INDEX(Materiali!$B:$B,MATCH(D1051,Materiali!$A:$A,0)),"codice?"))</f>
        <v/>
      </c>
      <c r="F1051" s="13"/>
      <c r="G1051" s="13"/>
      <c r="H1051" s="9" t="str">
        <f aca="false">IF(D1051="","",IFERROR(INDEX(Materiali!$C:$C,MATCH(D1051,Materiali!$A:$A,0)),0))</f>
        <v/>
      </c>
      <c r="I1051" s="9" t="str">
        <f aca="false">IF(OR(G1051="",H1051=""),"",IF(F1051="Uscita",-1,1)*G1051*H1051)</f>
        <v/>
      </c>
      <c r="J1051" s="13"/>
      <c r="K1051" s="13"/>
    </row>
    <row r="1052" customFormat="false" ht="15" hidden="false" customHeight="false" outlineLevel="0" collapsed="false">
      <c r="A1052" s="12"/>
      <c r="B1052" s="13"/>
      <c r="C1052" s="13"/>
      <c r="D1052" s="13"/>
      <c r="E1052" s="7" t="str">
        <f aca="false">IF(D1052="","",IFERROR(INDEX(Materiali!$B:$B,MATCH(D1052,Materiali!$A:$A,0)),"codice?"))</f>
        <v/>
      </c>
      <c r="F1052" s="13"/>
      <c r="G1052" s="13"/>
      <c r="H1052" s="9" t="str">
        <f aca="false">IF(D1052="","",IFERROR(INDEX(Materiali!$C:$C,MATCH(D1052,Materiali!$A:$A,0)),0))</f>
        <v/>
      </c>
      <c r="I1052" s="9" t="str">
        <f aca="false">IF(OR(G1052="",H1052=""),"",IF(F1052="Uscita",-1,1)*G1052*H1052)</f>
        <v/>
      </c>
      <c r="J1052" s="13"/>
      <c r="K1052" s="13"/>
    </row>
    <row r="1053" customFormat="false" ht="15" hidden="false" customHeight="false" outlineLevel="0" collapsed="false">
      <c r="A1053" s="12"/>
      <c r="B1053" s="13"/>
      <c r="C1053" s="13"/>
      <c r="D1053" s="13"/>
      <c r="E1053" s="7" t="str">
        <f aca="false">IF(D1053="","",IFERROR(INDEX(Materiali!$B:$B,MATCH(D1053,Materiali!$A:$A,0)),"codice?"))</f>
        <v/>
      </c>
      <c r="F1053" s="13"/>
      <c r="G1053" s="13"/>
      <c r="H1053" s="9" t="str">
        <f aca="false">IF(D1053="","",IFERROR(INDEX(Materiali!$C:$C,MATCH(D1053,Materiali!$A:$A,0)),0))</f>
        <v/>
      </c>
      <c r="I1053" s="9" t="str">
        <f aca="false">IF(OR(G1053="",H1053=""),"",IF(F1053="Uscita",-1,1)*G1053*H1053)</f>
        <v/>
      </c>
      <c r="J1053" s="13"/>
      <c r="K1053" s="13"/>
    </row>
    <row r="1054" customFormat="false" ht="15" hidden="false" customHeight="false" outlineLevel="0" collapsed="false">
      <c r="A1054" s="12"/>
      <c r="B1054" s="13"/>
      <c r="C1054" s="13"/>
      <c r="D1054" s="13"/>
      <c r="E1054" s="7" t="str">
        <f aca="false">IF(D1054="","",IFERROR(INDEX(Materiali!$B:$B,MATCH(D1054,Materiali!$A:$A,0)),"codice?"))</f>
        <v/>
      </c>
      <c r="F1054" s="13"/>
      <c r="G1054" s="13"/>
      <c r="H1054" s="9" t="str">
        <f aca="false">IF(D1054="","",IFERROR(INDEX(Materiali!$C:$C,MATCH(D1054,Materiali!$A:$A,0)),0))</f>
        <v/>
      </c>
      <c r="I1054" s="9" t="str">
        <f aca="false">IF(OR(G1054="",H1054=""),"",IF(F1054="Uscita",-1,1)*G1054*H1054)</f>
        <v/>
      </c>
      <c r="J1054" s="13"/>
      <c r="K1054" s="13"/>
    </row>
    <row r="1055" customFormat="false" ht="15" hidden="false" customHeight="false" outlineLevel="0" collapsed="false">
      <c r="A1055" s="12"/>
      <c r="B1055" s="13"/>
      <c r="C1055" s="13"/>
      <c r="D1055" s="13"/>
      <c r="E1055" s="7" t="str">
        <f aca="false">IF(D1055="","",IFERROR(INDEX(Materiali!$B:$B,MATCH(D1055,Materiali!$A:$A,0)),"codice?"))</f>
        <v/>
      </c>
      <c r="F1055" s="13"/>
      <c r="G1055" s="13"/>
      <c r="H1055" s="9" t="str">
        <f aca="false">IF(D1055="","",IFERROR(INDEX(Materiali!$C:$C,MATCH(D1055,Materiali!$A:$A,0)),0))</f>
        <v/>
      </c>
      <c r="I1055" s="9" t="str">
        <f aca="false">IF(OR(G1055="",H1055=""),"",IF(F1055="Uscita",-1,1)*G1055*H1055)</f>
        <v/>
      </c>
      <c r="J1055" s="13"/>
      <c r="K1055" s="13"/>
    </row>
    <row r="1056" customFormat="false" ht="15" hidden="false" customHeight="false" outlineLevel="0" collapsed="false">
      <c r="A1056" s="12"/>
      <c r="B1056" s="13"/>
      <c r="C1056" s="13"/>
      <c r="D1056" s="13"/>
      <c r="E1056" s="7" t="str">
        <f aca="false">IF(D1056="","",IFERROR(INDEX(Materiali!$B:$B,MATCH(D1056,Materiali!$A:$A,0)),"codice?"))</f>
        <v/>
      </c>
      <c r="F1056" s="13"/>
      <c r="G1056" s="13"/>
      <c r="H1056" s="9" t="str">
        <f aca="false">IF(D1056="","",IFERROR(INDEX(Materiali!$C:$C,MATCH(D1056,Materiali!$A:$A,0)),0))</f>
        <v/>
      </c>
      <c r="I1056" s="9" t="str">
        <f aca="false">IF(OR(G1056="",H1056=""),"",IF(F1056="Uscita",-1,1)*G1056*H1056)</f>
        <v/>
      </c>
      <c r="J1056" s="13"/>
      <c r="K1056" s="13"/>
    </row>
    <row r="1057" customFormat="false" ht="15" hidden="false" customHeight="false" outlineLevel="0" collapsed="false">
      <c r="A1057" s="12"/>
      <c r="B1057" s="13"/>
      <c r="C1057" s="13"/>
      <c r="D1057" s="13"/>
      <c r="E1057" s="7" t="str">
        <f aca="false">IF(D1057="","",IFERROR(INDEX(Materiali!$B:$B,MATCH(D1057,Materiali!$A:$A,0)),"codice?"))</f>
        <v/>
      </c>
      <c r="F1057" s="13"/>
      <c r="G1057" s="13"/>
      <c r="H1057" s="9" t="str">
        <f aca="false">IF(D1057="","",IFERROR(INDEX(Materiali!$C:$C,MATCH(D1057,Materiali!$A:$A,0)),0))</f>
        <v/>
      </c>
      <c r="I1057" s="9" t="str">
        <f aca="false">IF(OR(G1057="",H1057=""),"",IF(F1057="Uscita",-1,1)*G1057*H1057)</f>
        <v/>
      </c>
      <c r="J1057" s="13"/>
      <c r="K1057" s="13"/>
    </row>
    <row r="1058" customFormat="false" ht="15" hidden="false" customHeight="false" outlineLevel="0" collapsed="false">
      <c r="A1058" s="12"/>
      <c r="B1058" s="13"/>
      <c r="C1058" s="13"/>
      <c r="D1058" s="13"/>
      <c r="E1058" s="7" t="str">
        <f aca="false">IF(D1058="","",IFERROR(INDEX(Materiali!$B:$B,MATCH(D1058,Materiali!$A:$A,0)),"codice?"))</f>
        <v/>
      </c>
      <c r="F1058" s="13"/>
      <c r="G1058" s="13"/>
      <c r="H1058" s="9" t="str">
        <f aca="false">IF(D1058="","",IFERROR(INDEX(Materiali!$C:$C,MATCH(D1058,Materiali!$A:$A,0)),0))</f>
        <v/>
      </c>
      <c r="I1058" s="9" t="str">
        <f aca="false">IF(OR(G1058="",H1058=""),"",IF(F1058="Uscita",-1,1)*G1058*H1058)</f>
        <v/>
      </c>
      <c r="J1058" s="13"/>
      <c r="K1058" s="13"/>
    </row>
    <row r="1059" customFormat="false" ht="15" hidden="false" customHeight="false" outlineLevel="0" collapsed="false">
      <c r="A1059" s="12"/>
      <c r="B1059" s="13"/>
      <c r="C1059" s="13"/>
      <c r="D1059" s="13"/>
      <c r="E1059" s="7" t="str">
        <f aca="false">IF(D1059="","",IFERROR(INDEX(Materiali!$B:$B,MATCH(D1059,Materiali!$A:$A,0)),"codice?"))</f>
        <v/>
      </c>
      <c r="F1059" s="13"/>
      <c r="G1059" s="13"/>
      <c r="H1059" s="9" t="str">
        <f aca="false">IF(D1059="","",IFERROR(INDEX(Materiali!$C:$C,MATCH(D1059,Materiali!$A:$A,0)),0))</f>
        <v/>
      </c>
      <c r="I1059" s="9" t="str">
        <f aca="false">IF(OR(G1059="",H1059=""),"",IF(F1059="Uscita",-1,1)*G1059*H1059)</f>
        <v/>
      </c>
      <c r="J1059" s="13"/>
      <c r="K1059" s="13"/>
    </row>
    <row r="1060" customFormat="false" ht="15" hidden="false" customHeight="false" outlineLevel="0" collapsed="false">
      <c r="A1060" s="12"/>
      <c r="B1060" s="13"/>
      <c r="C1060" s="13"/>
      <c r="D1060" s="13"/>
      <c r="E1060" s="7" t="str">
        <f aca="false">IF(D1060="","",IFERROR(INDEX(Materiali!$B:$B,MATCH(D1060,Materiali!$A:$A,0)),"codice?"))</f>
        <v/>
      </c>
      <c r="F1060" s="13"/>
      <c r="G1060" s="13"/>
      <c r="H1060" s="9" t="str">
        <f aca="false">IF(D1060="","",IFERROR(INDEX(Materiali!$C:$C,MATCH(D1060,Materiali!$A:$A,0)),0))</f>
        <v/>
      </c>
      <c r="I1060" s="9" t="str">
        <f aca="false">IF(OR(G1060="",H1060=""),"",IF(F1060="Uscita",-1,1)*G1060*H1060)</f>
        <v/>
      </c>
      <c r="J1060" s="13"/>
      <c r="K1060" s="13"/>
    </row>
    <row r="1061" customFormat="false" ht="15" hidden="false" customHeight="false" outlineLevel="0" collapsed="false">
      <c r="A1061" s="12"/>
      <c r="B1061" s="13"/>
      <c r="C1061" s="13"/>
      <c r="D1061" s="13"/>
      <c r="E1061" s="7" t="str">
        <f aca="false">IF(D1061="","",IFERROR(INDEX(Materiali!$B:$B,MATCH(D1061,Materiali!$A:$A,0)),"codice?"))</f>
        <v/>
      </c>
      <c r="F1061" s="13"/>
      <c r="G1061" s="13"/>
      <c r="H1061" s="9" t="str">
        <f aca="false">IF(D1061="","",IFERROR(INDEX(Materiali!$C:$C,MATCH(D1061,Materiali!$A:$A,0)),0))</f>
        <v/>
      </c>
      <c r="I1061" s="9" t="str">
        <f aca="false">IF(OR(G1061="",H1061=""),"",IF(F1061="Uscita",-1,1)*G1061*H1061)</f>
        <v/>
      </c>
      <c r="J1061" s="13"/>
      <c r="K1061" s="13"/>
    </row>
    <row r="1062" customFormat="false" ht="15" hidden="false" customHeight="false" outlineLevel="0" collapsed="false">
      <c r="A1062" s="12"/>
      <c r="B1062" s="13"/>
      <c r="C1062" s="13"/>
      <c r="D1062" s="13"/>
      <c r="E1062" s="7" t="str">
        <f aca="false">IF(D1062="","",IFERROR(INDEX(Materiali!$B:$B,MATCH(D1062,Materiali!$A:$A,0)),"codice?"))</f>
        <v/>
      </c>
      <c r="F1062" s="13"/>
      <c r="G1062" s="13"/>
      <c r="H1062" s="9" t="str">
        <f aca="false">IF(D1062="","",IFERROR(INDEX(Materiali!$C:$C,MATCH(D1062,Materiali!$A:$A,0)),0))</f>
        <v/>
      </c>
      <c r="I1062" s="9" t="str">
        <f aca="false">IF(OR(G1062="",H1062=""),"",IF(F1062="Uscita",-1,1)*G1062*H1062)</f>
        <v/>
      </c>
      <c r="J1062" s="13"/>
      <c r="K1062" s="13"/>
    </row>
    <row r="1063" customFormat="false" ht="15" hidden="false" customHeight="false" outlineLevel="0" collapsed="false">
      <c r="A1063" s="12"/>
      <c r="B1063" s="13"/>
      <c r="C1063" s="13"/>
      <c r="D1063" s="13"/>
      <c r="E1063" s="7" t="str">
        <f aca="false">IF(D1063="","",IFERROR(INDEX(Materiali!$B:$B,MATCH(D1063,Materiali!$A:$A,0)),"codice?"))</f>
        <v/>
      </c>
      <c r="F1063" s="13"/>
      <c r="G1063" s="13"/>
      <c r="H1063" s="9" t="str">
        <f aca="false">IF(D1063="","",IFERROR(INDEX(Materiali!$C:$C,MATCH(D1063,Materiali!$A:$A,0)),0))</f>
        <v/>
      </c>
      <c r="I1063" s="9" t="str">
        <f aca="false">IF(OR(G1063="",H1063=""),"",IF(F1063="Uscita",-1,1)*G1063*H1063)</f>
        <v/>
      </c>
      <c r="J1063" s="13"/>
      <c r="K1063" s="13"/>
    </row>
    <row r="1064" customFormat="false" ht="15" hidden="false" customHeight="false" outlineLevel="0" collapsed="false">
      <c r="A1064" s="12"/>
      <c r="B1064" s="13"/>
      <c r="C1064" s="13"/>
      <c r="D1064" s="13"/>
      <c r="E1064" s="7" t="str">
        <f aca="false">IF(D1064="","",IFERROR(INDEX(Materiali!$B:$B,MATCH(D1064,Materiali!$A:$A,0)),"codice?"))</f>
        <v/>
      </c>
      <c r="F1064" s="13"/>
      <c r="G1064" s="13"/>
      <c r="H1064" s="9" t="str">
        <f aca="false">IF(D1064="","",IFERROR(INDEX(Materiali!$C:$C,MATCH(D1064,Materiali!$A:$A,0)),0))</f>
        <v/>
      </c>
      <c r="I1064" s="9" t="str">
        <f aca="false">IF(OR(G1064="",H1064=""),"",IF(F1064="Uscita",-1,1)*G1064*H1064)</f>
        <v/>
      </c>
      <c r="J1064" s="13"/>
      <c r="K1064" s="13"/>
    </row>
    <row r="1065" customFormat="false" ht="15" hidden="false" customHeight="false" outlineLevel="0" collapsed="false">
      <c r="A1065" s="12"/>
      <c r="B1065" s="13"/>
      <c r="C1065" s="13"/>
      <c r="D1065" s="13"/>
      <c r="E1065" s="7" t="str">
        <f aca="false">IF(D1065="","",IFERROR(INDEX(Materiali!$B:$B,MATCH(D1065,Materiali!$A:$A,0)),"codice?"))</f>
        <v/>
      </c>
      <c r="F1065" s="13"/>
      <c r="G1065" s="13"/>
      <c r="H1065" s="9" t="str">
        <f aca="false">IF(D1065="","",IFERROR(INDEX(Materiali!$C:$C,MATCH(D1065,Materiali!$A:$A,0)),0))</f>
        <v/>
      </c>
      <c r="I1065" s="9" t="str">
        <f aca="false">IF(OR(G1065="",H1065=""),"",IF(F1065="Uscita",-1,1)*G1065*H1065)</f>
        <v/>
      </c>
      <c r="J1065" s="13"/>
      <c r="K1065" s="13"/>
    </row>
    <row r="1066" customFormat="false" ht="15" hidden="false" customHeight="false" outlineLevel="0" collapsed="false">
      <c r="A1066" s="12"/>
      <c r="B1066" s="13"/>
      <c r="C1066" s="13"/>
      <c r="D1066" s="13"/>
      <c r="E1066" s="7" t="str">
        <f aca="false">IF(D1066="","",IFERROR(INDEX(Materiali!$B:$B,MATCH(D1066,Materiali!$A:$A,0)),"codice?"))</f>
        <v/>
      </c>
      <c r="F1066" s="13"/>
      <c r="G1066" s="13"/>
      <c r="H1066" s="9" t="str">
        <f aca="false">IF(D1066="","",IFERROR(INDEX(Materiali!$C:$C,MATCH(D1066,Materiali!$A:$A,0)),0))</f>
        <v/>
      </c>
      <c r="I1066" s="9" t="str">
        <f aca="false">IF(OR(G1066="",H1066=""),"",IF(F1066="Uscita",-1,1)*G1066*H1066)</f>
        <v/>
      </c>
      <c r="J1066" s="13"/>
      <c r="K1066" s="13"/>
    </row>
    <row r="1067" customFormat="false" ht="15" hidden="false" customHeight="false" outlineLevel="0" collapsed="false">
      <c r="A1067" s="12"/>
      <c r="B1067" s="13"/>
      <c r="C1067" s="13"/>
      <c r="D1067" s="13"/>
      <c r="E1067" s="7" t="str">
        <f aca="false">IF(D1067="","",IFERROR(INDEX(Materiali!$B:$B,MATCH(D1067,Materiali!$A:$A,0)),"codice?"))</f>
        <v/>
      </c>
      <c r="F1067" s="13"/>
      <c r="G1067" s="13"/>
      <c r="H1067" s="9" t="str">
        <f aca="false">IF(D1067="","",IFERROR(INDEX(Materiali!$C:$C,MATCH(D1067,Materiali!$A:$A,0)),0))</f>
        <v/>
      </c>
      <c r="I1067" s="9" t="str">
        <f aca="false">IF(OR(G1067="",H1067=""),"",IF(F1067="Uscita",-1,1)*G1067*H1067)</f>
        <v/>
      </c>
      <c r="J1067" s="13"/>
      <c r="K1067" s="13"/>
    </row>
    <row r="1068" customFormat="false" ht="15" hidden="false" customHeight="false" outlineLevel="0" collapsed="false">
      <c r="A1068" s="12"/>
      <c r="B1068" s="13"/>
      <c r="C1068" s="13"/>
      <c r="D1068" s="13"/>
      <c r="E1068" s="7" t="str">
        <f aca="false">IF(D1068="","",IFERROR(INDEX(Materiali!$B:$B,MATCH(D1068,Materiali!$A:$A,0)),"codice?"))</f>
        <v/>
      </c>
      <c r="F1068" s="13"/>
      <c r="G1068" s="13"/>
      <c r="H1068" s="9" t="str">
        <f aca="false">IF(D1068="","",IFERROR(INDEX(Materiali!$C:$C,MATCH(D1068,Materiali!$A:$A,0)),0))</f>
        <v/>
      </c>
      <c r="I1068" s="9" t="str">
        <f aca="false">IF(OR(G1068="",H1068=""),"",IF(F1068="Uscita",-1,1)*G1068*H1068)</f>
        <v/>
      </c>
      <c r="J1068" s="13"/>
      <c r="K1068" s="13"/>
    </row>
    <row r="1069" customFormat="false" ht="15" hidden="false" customHeight="false" outlineLevel="0" collapsed="false">
      <c r="A1069" s="12"/>
      <c r="B1069" s="13"/>
      <c r="C1069" s="13"/>
      <c r="D1069" s="13"/>
      <c r="E1069" s="7" t="str">
        <f aca="false">IF(D1069="","",IFERROR(INDEX(Materiali!$B:$B,MATCH(D1069,Materiali!$A:$A,0)),"codice?"))</f>
        <v/>
      </c>
      <c r="F1069" s="13"/>
      <c r="G1069" s="13"/>
      <c r="H1069" s="9" t="str">
        <f aca="false">IF(D1069="","",IFERROR(INDEX(Materiali!$C:$C,MATCH(D1069,Materiali!$A:$A,0)),0))</f>
        <v/>
      </c>
      <c r="I1069" s="9" t="str">
        <f aca="false">IF(OR(G1069="",H1069=""),"",IF(F1069="Uscita",-1,1)*G1069*H1069)</f>
        <v/>
      </c>
      <c r="J1069" s="13"/>
      <c r="K1069" s="13"/>
    </row>
    <row r="1070" customFormat="false" ht="15" hidden="false" customHeight="false" outlineLevel="0" collapsed="false">
      <c r="A1070" s="12"/>
      <c r="B1070" s="13"/>
      <c r="C1070" s="13"/>
      <c r="D1070" s="13"/>
      <c r="E1070" s="7" t="str">
        <f aca="false">IF(D1070="","",IFERROR(INDEX(Materiali!$B:$B,MATCH(D1070,Materiali!$A:$A,0)),"codice?"))</f>
        <v/>
      </c>
      <c r="F1070" s="13"/>
      <c r="G1070" s="13"/>
      <c r="H1070" s="9" t="str">
        <f aca="false">IF(D1070="","",IFERROR(INDEX(Materiali!$C:$C,MATCH(D1070,Materiali!$A:$A,0)),0))</f>
        <v/>
      </c>
      <c r="I1070" s="9" t="str">
        <f aca="false">IF(OR(G1070="",H1070=""),"",IF(F1070="Uscita",-1,1)*G1070*H1070)</f>
        <v/>
      </c>
      <c r="J1070" s="13"/>
      <c r="K1070" s="13"/>
    </row>
    <row r="1071" customFormat="false" ht="15" hidden="false" customHeight="false" outlineLevel="0" collapsed="false">
      <c r="A1071" s="12"/>
      <c r="B1071" s="13"/>
      <c r="C1071" s="13"/>
      <c r="D1071" s="13"/>
      <c r="E1071" s="7" t="str">
        <f aca="false">IF(D1071="","",IFERROR(INDEX(Materiali!$B:$B,MATCH(D1071,Materiali!$A:$A,0)),"codice?"))</f>
        <v/>
      </c>
      <c r="F1071" s="13"/>
      <c r="G1071" s="13"/>
      <c r="H1071" s="9" t="str">
        <f aca="false">IF(D1071="","",IFERROR(INDEX(Materiali!$C:$C,MATCH(D1071,Materiali!$A:$A,0)),0))</f>
        <v/>
      </c>
      <c r="I1071" s="9" t="str">
        <f aca="false">IF(OR(G1071="",H1071=""),"",IF(F1071="Uscita",-1,1)*G1071*H1071)</f>
        <v/>
      </c>
      <c r="J1071" s="13"/>
      <c r="K1071" s="13"/>
    </row>
    <row r="1072" customFormat="false" ht="15" hidden="false" customHeight="false" outlineLevel="0" collapsed="false">
      <c r="A1072" s="12"/>
      <c r="B1072" s="13"/>
      <c r="C1072" s="13"/>
      <c r="D1072" s="13"/>
      <c r="E1072" s="7" t="str">
        <f aca="false">IF(D1072="","",IFERROR(INDEX(Materiali!$B:$B,MATCH(D1072,Materiali!$A:$A,0)),"codice?"))</f>
        <v/>
      </c>
      <c r="F1072" s="13"/>
      <c r="G1072" s="13"/>
      <c r="H1072" s="9" t="str">
        <f aca="false">IF(D1072="","",IFERROR(INDEX(Materiali!$C:$C,MATCH(D1072,Materiali!$A:$A,0)),0))</f>
        <v/>
      </c>
      <c r="I1072" s="9" t="str">
        <f aca="false">IF(OR(G1072="",H1072=""),"",IF(F1072="Uscita",-1,1)*G1072*H1072)</f>
        <v/>
      </c>
      <c r="J1072" s="13"/>
      <c r="K1072" s="13"/>
    </row>
    <row r="1073" customFormat="false" ht="15" hidden="false" customHeight="false" outlineLevel="0" collapsed="false">
      <c r="A1073" s="12"/>
      <c r="B1073" s="13"/>
      <c r="C1073" s="13"/>
      <c r="D1073" s="13"/>
      <c r="E1073" s="7" t="str">
        <f aca="false">IF(D1073="","",IFERROR(INDEX(Materiali!$B:$B,MATCH(D1073,Materiali!$A:$A,0)),"codice?"))</f>
        <v/>
      </c>
      <c r="F1073" s="13"/>
      <c r="G1073" s="13"/>
      <c r="H1073" s="9" t="str">
        <f aca="false">IF(D1073="","",IFERROR(INDEX(Materiali!$C:$C,MATCH(D1073,Materiali!$A:$A,0)),0))</f>
        <v/>
      </c>
      <c r="I1073" s="9" t="str">
        <f aca="false">IF(OR(G1073="",H1073=""),"",IF(F1073="Uscita",-1,1)*G1073*H1073)</f>
        <v/>
      </c>
      <c r="J1073" s="13"/>
      <c r="K1073" s="13"/>
    </row>
    <row r="1074" customFormat="false" ht="15" hidden="false" customHeight="false" outlineLevel="0" collapsed="false">
      <c r="A1074" s="12"/>
      <c r="B1074" s="13"/>
      <c r="C1074" s="13"/>
      <c r="D1074" s="13"/>
      <c r="E1074" s="7" t="str">
        <f aca="false">IF(D1074="","",IFERROR(INDEX(Materiali!$B:$B,MATCH(D1074,Materiali!$A:$A,0)),"codice?"))</f>
        <v/>
      </c>
      <c r="F1074" s="13"/>
      <c r="G1074" s="13"/>
      <c r="H1074" s="9" t="str">
        <f aca="false">IF(D1074="","",IFERROR(INDEX(Materiali!$C:$C,MATCH(D1074,Materiali!$A:$A,0)),0))</f>
        <v/>
      </c>
      <c r="I1074" s="9" t="str">
        <f aca="false">IF(OR(G1074="",H1074=""),"",IF(F1074="Uscita",-1,1)*G1074*H1074)</f>
        <v/>
      </c>
      <c r="J1074" s="13"/>
      <c r="K1074" s="13"/>
    </row>
    <row r="1075" customFormat="false" ht="15" hidden="false" customHeight="false" outlineLevel="0" collapsed="false">
      <c r="A1075" s="12"/>
      <c r="B1075" s="13"/>
      <c r="C1075" s="13"/>
      <c r="D1075" s="13"/>
      <c r="E1075" s="7" t="str">
        <f aca="false">IF(D1075="","",IFERROR(INDEX(Materiali!$B:$B,MATCH(D1075,Materiali!$A:$A,0)),"codice?"))</f>
        <v/>
      </c>
      <c r="F1075" s="13"/>
      <c r="G1075" s="13"/>
      <c r="H1075" s="9" t="str">
        <f aca="false">IF(D1075="","",IFERROR(INDEX(Materiali!$C:$C,MATCH(D1075,Materiali!$A:$A,0)),0))</f>
        <v/>
      </c>
      <c r="I1075" s="9" t="str">
        <f aca="false">IF(OR(G1075="",H1075=""),"",IF(F1075="Uscita",-1,1)*G1075*H1075)</f>
        <v/>
      </c>
      <c r="J1075" s="13"/>
      <c r="K1075" s="13"/>
    </row>
    <row r="1076" customFormat="false" ht="15" hidden="false" customHeight="false" outlineLevel="0" collapsed="false">
      <c r="A1076" s="12"/>
      <c r="B1076" s="13"/>
      <c r="C1076" s="13"/>
      <c r="D1076" s="13"/>
      <c r="E1076" s="7" t="str">
        <f aca="false">IF(D1076="","",IFERROR(INDEX(Materiali!$B:$B,MATCH(D1076,Materiali!$A:$A,0)),"codice?"))</f>
        <v/>
      </c>
      <c r="F1076" s="13"/>
      <c r="G1076" s="13"/>
      <c r="H1076" s="9" t="str">
        <f aca="false">IF(D1076="","",IFERROR(INDEX(Materiali!$C:$C,MATCH(D1076,Materiali!$A:$A,0)),0))</f>
        <v/>
      </c>
      <c r="I1076" s="9" t="str">
        <f aca="false">IF(OR(G1076="",H1076=""),"",IF(F1076="Uscita",-1,1)*G1076*H1076)</f>
        <v/>
      </c>
      <c r="J1076" s="13"/>
      <c r="K1076" s="13"/>
    </row>
    <row r="1077" customFormat="false" ht="15" hidden="false" customHeight="false" outlineLevel="0" collapsed="false">
      <c r="A1077" s="12"/>
      <c r="B1077" s="13"/>
      <c r="C1077" s="13"/>
      <c r="D1077" s="13"/>
      <c r="E1077" s="7" t="str">
        <f aca="false">IF(D1077="","",IFERROR(INDEX(Materiali!$B:$B,MATCH(D1077,Materiali!$A:$A,0)),"codice?"))</f>
        <v/>
      </c>
      <c r="F1077" s="13"/>
      <c r="G1077" s="13"/>
      <c r="H1077" s="9" t="str">
        <f aca="false">IF(D1077="","",IFERROR(INDEX(Materiali!$C:$C,MATCH(D1077,Materiali!$A:$A,0)),0))</f>
        <v/>
      </c>
      <c r="I1077" s="9" t="str">
        <f aca="false">IF(OR(G1077="",H1077=""),"",IF(F1077="Uscita",-1,1)*G1077*H1077)</f>
        <v/>
      </c>
      <c r="J1077" s="13"/>
      <c r="K1077" s="13"/>
    </row>
    <row r="1078" customFormat="false" ht="15" hidden="false" customHeight="false" outlineLevel="0" collapsed="false">
      <c r="A1078" s="12"/>
      <c r="B1078" s="13"/>
      <c r="C1078" s="13"/>
      <c r="D1078" s="13"/>
      <c r="E1078" s="7" t="str">
        <f aca="false">IF(D1078="","",IFERROR(INDEX(Materiali!$B:$B,MATCH(D1078,Materiali!$A:$A,0)),"codice?"))</f>
        <v/>
      </c>
      <c r="F1078" s="13"/>
      <c r="G1078" s="13"/>
      <c r="H1078" s="9" t="str">
        <f aca="false">IF(D1078="","",IFERROR(INDEX(Materiali!$C:$C,MATCH(D1078,Materiali!$A:$A,0)),0))</f>
        <v/>
      </c>
      <c r="I1078" s="9" t="str">
        <f aca="false">IF(OR(G1078="",H1078=""),"",IF(F1078="Uscita",-1,1)*G1078*H1078)</f>
        <v/>
      </c>
      <c r="J1078" s="13"/>
      <c r="K1078" s="13"/>
    </row>
    <row r="1079" customFormat="false" ht="15" hidden="false" customHeight="false" outlineLevel="0" collapsed="false">
      <c r="A1079" s="12"/>
      <c r="B1079" s="13"/>
      <c r="C1079" s="13"/>
      <c r="D1079" s="13"/>
      <c r="E1079" s="7" t="str">
        <f aca="false">IF(D1079="","",IFERROR(INDEX(Materiali!$B:$B,MATCH(D1079,Materiali!$A:$A,0)),"codice?"))</f>
        <v/>
      </c>
      <c r="F1079" s="13"/>
      <c r="G1079" s="13"/>
      <c r="H1079" s="9" t="str">
        <f aca="false">IF(D1079="","",IFERROR(INDEX(Materiali!$C:$C,MATCH(D1079,Materiali!$A:$A,0)),0))</f>
        <v/>
      </c>
      <c r="I1079" s="9" t="str">
        <f aca="false">IF(OR(G1079="",H1079=""),"",IF(F1079="Uscita",-1,1)*G1079*H1079)</f>
        <v/>
      </c>
      <c r="J1079" s="13"/>
      <c r="K1079" s="13"/>
    </row>
    <row r="1080" customFormat="false" ht="15" hidden="false" customHeight="false" outlineLevel="0" collapsed="false">
      <c r="A1080" s="12"/>
      <c r="B1080" s="13"/>
      <c r="C1080" s="13"/>
      <c r="D1080" s="13"/>
      <c r="E1080" s="7" t="str">
        <f aca="false">IF(D1080="","",IFERROR(INDEX(Materiali!$B:$B,MATCH(D1080,Materiali!$A:$A,0)),"codice?"))</f>
        <v/>
      </c>
      <c r="F1080" s="13"/>
      <c r="G1080" s="13"/>
      <c r="H1080" s="9" t="str">
        <f aca="false">IF(D1080="","",IFERROR(INDEX(Materiali!$C:$C,MATCH(D1080,Materiali!$A:$A,0)),0))</f>
        <v/>
      </c>
      <c r="I1080" s="9" t="str">
        <f aca="false">IF(OR(G1080="",H1080=""),"",IF(F1080="Uscita",-1,1)*G1080*H1080)</f>
        <v/>
      </c>
      <c r="J1080" s="13"/>
      <c r="K1080" s="13"/>
    </row>
    <row r="1081" customFormat="false" ht="15" hidden="false" customHeight="false" outlineLevel="0" collapsed="false">
      <c r="A1081" s="12"/>
      <c r="B1081" s="13"/>
      <c r="C1081" s="13"/>
      <c r="D1081" s="13"/>
      <c r="E1081" s="7" t="str">
        <f aca="false">IF(D1081="","",IFERROR(INDEX(Materiali!$B:$B,MATCH(D1081,Materiali!$A:$A,0)),"codice?"))</f>
        <v/>
      </c>
      <c r="F1081" s="13"/>
      <c r="G1081" s="13"/>
      <c r="H1081" s="9" t="str">
        <f aca="false">IF(D1081="","",IFERROR(INDEX(Materiali!$C:$C,MATCH(D1081,Materiali!$A:$A,0)),0))</f>
        <v/>
      </c>
      <c r="I1081" s="9" t="str">
        <f aca="false">IF(OR(G1081="",H1081=""),"",IF(F1081="Uscita",-1,1)*G1081*H1081)</f>
        <v/>
      </c>
      <c r="J1081" s="13"/>
      <c r="K1081" s="13"/>
    </row>
    <row r="1082" customFormat="false" ht="15" hidden="false" customHeight="false" outlineLevel="0" collapsed="false">
      <c r="A1082" s="12"/>
      <c r="B1082" s="13"/>
      <c r="C1082" s="13"/>
      <c r="D1082" s="13"/>
      <c r="E1082" s="7" t="str">
        <f aca="false">IF(D1082="","",IFERROR(INDEX(Materiali!$B:$B,MATCH(D1082,Materiali!$A:$A,0)),"codice?"))</f>
        <v/>
      </c>
      <c r="F1082" s="13"/>
      <c r="G1082" s="13"/>
      <c r="H1082" s="9" t="str">
        <f aca="false">IF(D1082="","",IFERROR(INDEX(Materiali!$C:$C,MATCH(D1082,Materiali!$A:$A,0)),0))</f>
        <v/>
      </c>
      <c r="I1082" s="9" t="str">
        <f aca="false">IF(OR(G1082="",H1082=""),"",IF(F1082="Uscita",-1,1)*G1082*H1082)</f>
        <v/>
      </c>
      <c r="J1082" s="13"/>
      <c r="K1082" s="13"/>
    </row>
    <row r="1083" customFormat="false" ht="15" hidden="false" customHeight="false" outlineLevel="0" collapsed="false">
      <c r="A1083" s="12"/>
      <c r="B1083" s="13"/>
      <c r="C1083" s="13"/>
      <c r="D1083" s="13"/>
      <c r="E1083" s="7" t="str">
        <f aca="false">IF(D1083="","",IFERROR(INDEX(Materiali!$B:$B,MATCH(D1083,Materiali!$A:$A,0)),"codice?"))</f>
        <v/>
      </c>
      <c r="F1083" s="13"/>
      <c r="G1083" s="13"/>
      <c r="H1083" s="9" t="str">
        <f aca="false">IF(D1083="","",IFERROR(INDEX(Materiali!$C:$C,MATCH(D1083,Materiali!$A:$A,0)),0))</f>
        <v/>
      </c>
      <c r="I1083" s="9" t="str">
        <f aca="false">IF(OR(G1083="",H1083=""),"",IF(F1083="Uscita",-1,1)*G1083*H1083)</f>
        <v/>
      </c>
      <c r="J1083" s="13"/>
      <c r="K1083" s="13"/>
    </row>
    <row r="1084" customFormat="false" ht="15" hidden="false" customHeight="false" outlineLevel="0" collapsed="false">
      <c r="A1084" s="12"/>
      <c r="B1084" s="13"/>
      <c r="C1084" s="13"/>
      <c r="D1084" s="13"/>
      <c r="E1084" s="7" t="str">
        <f aca="false">IF(D1084="","",IFERROR(INDEX(Materiali!$B:$B,MATCH(D1084,Materiali!$A:$A,0)),"codice?"))</f>
        <v/>
      </c>
      <c r="F1084" s="13"/>
      <c r="G1084" s="13"/>
      <c r="H1084" s="9" t="str">
        <f aca="false">IF(D1084="","",IFERROR(INDEX(Materiali!$C:$C,MATCH(D1084,Materiali!$A:$A,0)),0))</f>
        <v/>
      </c>
      <c r="I1084" s="9" t="str">
        <f aca="false">IF(OR(G1084="",H1084=""),"",IF(F1084="Uscita",-1,1)*G1084*H1084)</f>
        <v/>
      </c>
      <c r="J1084" s="13"/>
      <c r="K1084" s="13"/>
    </row>
    <row r="1085" customFormat="false" ht="15" hidden="false" customHeight="false" outlineLevel="0" collapsed="false">
      <c r="A1085" s="12"/>
      <c r="B1085" s="13"/>
      <c r="C1085" s="13"/>
      <c r="D1085" s="13"/>
      <c r="E1085" s="7" t="str">
        <f aca="false">IF(D1085="","",IFERROR(INDEX(Materiali!$B:$B,MATCH(D1085,Materiali!$A:$A,0)),"codice?"))</f>
        <v/>
      </c>
      <c r="F1085" s="13"/>
      <c r="G1085" s="13"/>
      <c r="H1085" s="9" t="str">
        <f aca="false">IF(D1085="","",IFERROR(INDEX(Materiali!$C:$C,MATCH(D1085,Materiali!$A:$A,0)),0))</f>
        <v/>
      </c>
      <c r="I1085" s="9" t="str">
        <f aca="false">IF(OR(G1085="",H1085=""),"",IF(F1085="Uscita",-1,1)*G1085*H1085)</f>
        <v/>
      </c>
      <c r="J1085" s="13"/>
      <c r="K1085" s="13"/>
    </row>
    <row r="1086" customFormat="false" ht="15" hidden="false" customHeight="false" outlineLevel="0" collapsed="false">
      <c r="A1086" s="12"/>
      <c r="B1086" s="13"/>
      <c r="C1086" s="13"/>
      <c r="D1086" s="13"/>
      <c r="E1086" s="7" t="str">
        <f aca="false">IF(D1086="","",IFERROR(INDEX(Materiali!$B:$B,MATCH(D1086,Materiali!$A:$A,0)),"codice?"))</f>
        <v/>
      </c>
      <c r="F1086" s="13"/>
      <c r="G1086" s="13"/>
      <c r="H1086" s="9" t="str">
        <f aca="false">IF(D1086="","",IFERROR(INDEX(Materiali!$C:$C,MATCH(D1086,Materiali!$A:$A,0)),0))</f>
        <v/>
      </c>
      <c r="I1086" s="9" t="str">
        <f aca="false">IF(OR(G1086="",H1086=""),"",IF(F1086="Uscita",-1,1)*G1086*H1086)</f>
        <v/>
      </c>
      <c r="J1086" s="13"/>
      <c r="K1086" s="13"/>
    </row>
    <row r="1087" customFormat="false" ht="15" hidden="false" customHeight="false" outlineLevel="0" collapsed="false">
      <c r="A1087" s="12"/>
      <c r="B1087" s="13"/>
      <c r="C1087" s="13"/>
      <c r="D1087" s="13"/>
      <c r="E1087" s="7" t="str">
        <f aca="false">IF(D1087="","",IFERROR(INDEX(Materiali!$B:$B,MATCH(D1087,Materiali!$A:$A,0)),"codice?"))</f>
        <v/>
      </c>
      <c r="F1087" s="13"/>
      <c r="G1087" s="13"/>
      <c r="H1087" s="9" t="str">
        <f aca="false">IF(D1087="","",IFERROR(INDEX(Materiali!$C:$C,MATCH(D1087,Materiali!$A:$A,0)),0))</f>
        <v/>
      </c>
      <c r="I1087" s="9" t="str">
        <f aca="false">IF(OR(G1087="",H1087=""),"",IF(F1087="Uscita",-1,1)*G1087*H1087)</f>
        <v/>
      </c>
      <c r="J1087" s="13"/>
      <c r="K1087" s="13"/>
    </row>
    <row r="1088" customFormat="false" ht="15" hidden="false" customHeight="false" outlineLevel="0" collapsed="false">
      <c r="A1088" s="12"/>
      <c r="B1088" s="13"/>
      <c r="C1088" s="13"/>
      <c r="D1088" s="13"/>
      <c r="E1088" s="7" t="str">
        <f aca="false">IF(D1088="","",IFERROR(INDEX(Materiali!$B:$B,MATCH(D1088,Materiali!$A:$A,0)),"codice?"))</f>
        <v/>
      </c>
      <c r="F1088" s="13"/>
      <c r="G1088" s="13"/>
      <c r="H1088" s="9" t="str">
        <f aca="false">IF(D1088="","",IFERROR(INDEX(Materiali!$C:$C,MATCH(D1088,Materiali!$A:$A,0)),0))</f>
        <v/>
      </c>
      <c r="I1088" s="9" t="str">
        <f aca="false">IF(OR(G1088="",H1088=""),"",IF(F1088="Uscita",-1,1)*G1088*H1088)</f>
        <v/>
      </c>
      <c r="J1088" s="13"/>
      <c r="K1088" s="13"/>
    </row>
    <row r="1089" customFormat="false" ht="15" hidden="false" customHeight="false" outlineLevel="0" collapsed="false">
      <c r="A1089" s="12"/>
      <c r="B1089" s="13"/>
      <c r="C1089" s="13"/>
      <c r="D1089" s="13"/>
      <c r="E1089" s="7" t="str">
        <f aca="false">IF(D1089="","",IFERROR(INDEX(Materiali!$B:$B,MATCH(D1089,Materiali!$A:$A,0)),"codice?"))</f>
        <v/>
      </c>
      <c r="F1089" s="13"/>
      <c r="G1089" s="13"/>
      <c r="H1089" s="9" t="str">
        <f aca="false">IF(D1089="","",IFERROR(INDEX(Materiali!$C:$C,MATCH(D1089,Materiali!$A:$A,0)),0))</f>
        <v/>
      </c>
      <c r="I1089" s="9" t="str">
        <f aca="false">IF(OR(G1089="",H1089=""),"",IF(F1089="Uscita",-1,1)*G1089*H1089)</f>
        <v/>
      </c>
      <c r="J1089" s="13"/>
      <c r="K1089" s="13"/>
    </row>
    <row r="1090" customFormat="false" ht="15" hidden="false" customHeight="false" outlineLevel="0" collapsed="false">
      <c r="A1090" s="12"/>
      <c r="B1090" s="13"/>
      <c r="C1090" s="13"/>
      <c r="D1090" s="13"/>
      <c r="E1090" s="7" t="str">
        <f aca="false">IF(D1090="","",IFERROR(INDEX(Materiali!$B:$B,MATCH(D1090,Materiali!$A:$A,0)),"codice?"))</f>
        <v/>
      </c>
      <c r="F1090" s="13"/>
      <c r="G1090" s="13"/>
      <c r="H1090" s="9" t="str">
        <f aca="false">IF(D1090="","",IFERROR(INDEX(Materiali!$C:$C,MATCH(D1090,Materiali!$A:$A,0)),0))</f>
        <v/>
      </c>
      <c r="I1090" s="9" t="str">
        <f aca="false">IF(OR(G1090="",H1090=""),"",IF(F1090="Uscita",-1,1)*G1090*H1090)</f>
        <v/>
      </c>
      <c r="J1090" s="13"/>
      <c r="K1090" s="13"/>
    </row>
    <row r="1091" customFormat="false" ht="15" hidden="false" customHeight="false" outlineLevel="0" collapsed="false">
      <c r="A1091" s="12"/>
      <c r="B1091" s="13"/>
      <c r="C1091" s="13"/>
      <c r="D1091" s="13"/>
      <c r="E1091" s="7" t="str">
        <f aca="false">IF(D1091="","",IFERROR(INDEX(Materiali!$B:$B,MATCH(D1091,Materiali!$A:$A,0)),"codice?"))</f>
        <v/>
      </c>
      <c r="F1091" s="13"/>
      <c r="G1091" s="13"/>
      <c r="H1091" s="9" t="str">
        <f aca="false">IF(D1091="","",IFERROR(INDEX(Materiali!$C:$C,MATCH(D1091,Materiali!$A:$A,0)),0))</f>
        <v/>
      </c>
      <c r="I1091" s="9" t="str">
        <f aca="false">IF(OR(G1091="",H1091=""),"",IF(F1091="Uscita",-1,1)*G1091*H1091)</f>
        <v/>
      </c>
      <c r="J1091" s="13"/>
      <c r="K1091" s="13"/>
    </row>
    <row r="1092" customFormat="false" ht="15" hidden="false" customHeight="false" outlineLevel="0" collapsed="false">
      <c r="A1092" s="12"/>
      <c r="B1092" s="13"/>
      <c r="C1092" s="13"/>
      <c r="D1092" s="13"/>
      <c r="E1092" s="7" t="str">
        <f aca="false">IF(D1092="","",IFERROR(INDEX(Materiali!$B:$B,MATCH(D1092,Materiali!$A:$A,0)),"codice?"))</f>
        <v/>
      </c>
      <c r="F1092" s="13"/>
      <c r="G1092" s="13"/>
      <c r="H1092" s="9" t="str">
        <f aca="false">IF(D1092="","",IFERROR(INDEX(Materiali!$C:$C,MATCH(D1092,Materiali!$A:$A,0)),0))</f>
        <v/>
      </c>
      <c r="I1092" s="9" t="str">
        <f aca="false">IF(OR(G1092="",H1092=""),"",IF(F1092="Uscita",-1,1)*G1092*H1092)</f>
        <v/>
      </c>
      <c r="J1092" s="13"/>
      <c r="K1092" s="13"/>
    </row>
    <row r="1093" customFormat="false" ht="15" hidden="false" customHeight="false" outlineLevel="0" collapsed="false">
      <c r="A1093" s="12"/>
      <c r="B1093" s="13"/>
      <c r="C1093" s="13"/>
      <c r="D1093" s="13"/>
      <c r="E1093" s="7" t="str">
        <f aca="false">IF(D1093="","",IFERROR(INDEX(Materiali!$B:$B,MATCH(D1093,Materiali!$A:$A,0)),"codice?"))</f>
        <v/>
      </c>
      <c r="F1093" s="13"/>
      <c r="G1093" s="13"/>
      <c r="H1093" s="9" t="str">
        <f aca="false">IF(D1093="","",IFERROR(INDEX(Materiali!$C:$C,MATCH(D1093,Materiali!$A:$A,0)),0))</f>
        <v/>
      </c>
      <c r="I1093" s="9" t="str">
        <f aca="false">IF(OR(G1093="",H1093=""),"",IF(F1093="Uscita",-1,1)*G1093*H1093)</f>
        <v/>
      </c>
      <c r="J1093" s="13"/>
      <c r="K1093" s="13"/>
    </row>
    <row r="1094" customFormat="false" ht="15" hidden="false" customHeight="false" outlineLevel="0" collapsed="false">
      <c r="A1094" s="12"/>
      <c r="B1094" s="13"/>
      <c r="C1094" s="13"/>
      <c r="D1094" s="13"/>
      <c r="E1094" s="7" t="str">
        <f aca="false">IF(D1094="","",IFERROR(INDEX(Materiali!$B:$B,MATCH(D1094,Materiali!$A:$A,0)),"codice?"))</f>
        <v/>
      </c>
      <c r="F1094" s="13"/>
      <c r="G1094" s="13"/>
      <c r="H1094" s="9" t="str">
        <f aca="false">IF(D1094="","",IFERROR(INDEX(Materiali!$C:$C,MATCH(D1094,Materiali!$A:$A,0)),0))</f>
        <v/>
      </c>
      <c r="I1094" s="9" t="str">
        <f aca="false">IF(OR(G1094="",H1094=""),"",IF(F1094="Uscita",-1,1)*G1094*H1094)</f>
        <v/>
      </c>
      <c r="J1094" s="13"/>
      <c r="K1094" s="13"/>
    </row>
    <row r="1095" customFormat="false" ht="15" hidden="false" customHeight="false" outlineLevel="0" collapsed="false">
      <c r="A1095" s="12"/>
      <c r="B1095" s="13"/>
      <c r="C1095" s="13"/>
      <c r="D1095" s="13"/>
      <c r="E1095" s="7" t="str">
        <f aca="false">IF(D1095="","",IFERROR(INDEX(Materiali!$B:$B,MATCH(D1095,Materiali!$A:$A,0)),"codice?"))</f>
        <v/>
      </c>
      <c r="F1095" s="13"/>
      <c r="G1095" s="13"/>
      <c r="H1095" s="9" t="str">
        <f aca="false">IF(D1095="","",IFERROR(INDEX(Materiali!$C:$C,MATCH(D1095,Materiali!$A:$A,0)),0))</f>
        <v/>
      </c>
      <c r="I1095" s="9" t="str">
        <f aca="false">IF(OR(G1095="",H1095=""),"",IF(F1095="Uscita",-1,1)*G1095*H1095)</f>
        <v/>
      </c>
      <c r="J1095" s="13"/>
      <c r="K1095" s="13"/>
    </row>
    <row r="1096" customFormat="false" ht="15" hidden="false" customHeight="false" outlineLevel="0" collapsed="false">
      <c r="A1096" s="12"/>
      <c r="B1096" s="13"/>
      <c r="C1096" s="13"/>
      <c r="D1096" s="13"/>
      <c r="E1096" s="7" t="str">
        <f aca="false">IF(D1096="","",IFERROR(INDEX(Materiali!$B:$B,MATCH(D1096,Materiali!$A:$A,0)),"codice?"))</f>
        <v/>
      </c>
      <c r="F1096" s="13"/>
      <c r="G1096" s="13"/>
      <c r="H1096" s="9" t="str">
        <f aca="false">IF(D1096="","",IFERROR(INDEX(Materiali!$C:$C,MATCH(D1096,Materiali!$A:$A,0)),0))</f>
        <v/>
      </c>
      <c r="I1096" s="9" t="str">
        <f aca="false">IF(OR(G1096="",H1096=""),"",IF(F1096="Uscita",-1,1)*G1096*H1096)</f>
        <v/>
      </c>
      <c r="J1096" s="13"/>
      <c r="K1096" s="13"/>
    </row>
    <row r="1097" customFormat="false" ht="15" hidden="false" customHeight="false" outlineLevel="0" collapsed="false">
      <c r="A1097" s="12"/>
      <c r="B1097" s="13"/>
      <c r="C1097" s="13"/>
      <c r="D1097" s="13"/>
      <c r="E1097" s="7" t="str">
        <f aca="false">IF(D1097="","",IFERROR(INDEX(Materiali!$B:$B,MATCH(D1097,Materiali!$A:$A,0)),"codice?"))</f>
        <v/>
      </c>
      <c r="F1097" s="13"/>
      <c r="G1097" s="13"/>
      <c r="H1097" s="9" t="str">
        <f aca="false">IF(D1097="","",IFERROR(INDEX(Materiali!$C:$C,MATCH(D1097,Materiali!$A:$A,0)),0))</f>
        <v/>
      </c>
      <c r="I1097" s="9" t="str">
        <f aca="false">IF(OR(G1097="",H1097=""),"",IF(F1097="Uscita",-1,1)*G1097*H1097)</f>
        <v/>
      </c>
      <c r="J1097" s="13"/>
      <c r="K1097" s="13"/>
    </row>
    <row r="1098" customFormat="false" ht="15" hidden="false" customHeight="false" outlineLevel="0" collapsed="false">
      <c r="A1098" s="12"/>
      <c r="B1098" s="13"/>
      <c r="C1098" s="13"/>
      <c r="D1098" s="13"/>
      <c r="E1098" s="7" t="str">
        <f aca="false">IF(D1098="","",IFERROR(INDEX(Materiali!$B:$B,MATCH(D1098,Materiali!$A:$A,0)),"codice?"))</f>
        <v/>
      </c>
      <c r="F1098" s="13"/>
      <c r="G1098" s="13"/>
      <c r="H1098" s="9" t="str">
        <f aca="false">IF(D1098="","",IFERROR(INDEX(Materiali!$C:$C,MATCH(D1098,Materiali!$A:$A,0)),0))</f>
        <v/>
      </c>
      <c r="I1098" s="9" t="str">
        <f aca="false">IF(OR(G1098="",H1098=""),"",IF(F1098="Uscita",-1,1)*G1098*H1098)</f>
        <v/>
      </c>
      <c r="J1098" s="13"/>
      <c r="K1098" s="13"/>
    </row>
    <row r="1099" customFormat="false" ht="15" hidden="false" customHeight="false" outlineLevel="0" collapsed="false">
      <c r="A1099" s="12"/>
      <c r="B1099" s="13"/>
      <c r="C1099" s="13"/>
      <c r="D1099" s="13"/>
      <c r="E1099" s="7" t="str">
        <f aca="false">IF(D1099="","",IFERROR(INDEX(Materiali!$B:$B,MATCH(D1099,Materiali!$A:$A,0)),"codice?"))</f>
        <v/>
      </c>
      <c r="F1099" s="13"/>
      <c r="G1099" s="13"/>
      <c r="H1099" s="9" t="str">
        <f aca="false">IF(D1099="","",IFERROR(INDEX(Materiali!$C:$C,MATCH(D1099,Materiali!$A:$A,0)),0))</f>
        <v/>
      </c>
      <c r="I1099" s="9" t="str">
        <f aca="false">IF(OR(G1099="",H1099=""),"",IF(F1099="Uscita",-1,1)*G1099*H1099)</f>
        <v/>
      </c>
      <c r="J1099" s="13"/>
      <c r="K1099" s="13"/>
    </row>
    <row r="1100" customFormat="false" ht="15" hidden="false" customHeight="false" outlineLevel="0" collapsed="false">
      <c r="A1100" s="12"/>
      <c r="B1100" s="13"/>
      <c r="C1100" s="13"/>
      <c r="D1100" s="13"/>
      <c r="E1100" s="7" t="str">
        <f aca="false">IF(D1100="","",IFERROR(INDEX(Materiali!$B:$B,MATCH(D1100,Materiali!$A:$A,0)),"codice?"))</f>
        <v/>
      </c>
      <c r="F1100" s="13"/>
      <c r="G1100" s="13"/>
      <c r="H1100" s="9" t="str">
        <f aca="false">IF(D1100="","",IFERROR(INDEX(Materiali!$C:$C,MATCH(D1100,Materiali!$A:$A,0)),0))</f>
        <v/>
      </c>
      <c r="I1100" s="9" t="str">
        <f aca="false">IF(OR(G1100="",H1100=""),"",IF(F1100="Uscita",-1,1)*G1100*H1100)</f>
        <v/>
      </c>
      <c r="J1100" s="13"/>
      <c r="K1100" s="13"/>
    </row>
    <row r="1101" customFormat="false" ht="15" hidden="false" customHeight="false" outlineLevel="0" collapsed="false">
      <c r="A1101" s="12"/>
      <c r="B1101" s="13"/>
      <c r="C1101" s="13"/>
      <c r="D1101" s="13"/>
      <c r="E1101" s="7" t="str">
        <f aca="false">IF(D1101="","",IFERROR(INDEX(Materiali!$B:$B,MATCH(D1101,Materiali!$A:$A,0)),"codice?"))</f>
        <v/>
      </c>
      <c r="F1101" s="13"/>
      <c r="G1101" s="13"/>
      <c r="H1101" s="9" t="str">
        <f aca="false">IF(D1101="","",IFERROR(INDEX(Materiali!$C:$C,MATCH(D1101,Materiali!$A:$A,0)),0))</f>
        <v/>
      </c>
      <c r="I1101" s="9" t="str">
        <f aca="false">IF(OR(G1101="",H1101=""),"",IF(F1101="Uscita",-1,1)*G1101*H1101)</f>
        <v/>
      </c>
      <c r="J1101" s="13"/>
      <c r="K1101" s="13"/>
    </row>
    <row r="1102" customFormat="false" ht="15" hidden="false" customHeight="false" outlineLevel="0" collapsed="false">
      <c r="A1102" s="12"/>
      <c r="B1102" s="13"/>
      <c r="C1102" s="13"/>
      <c r="D1102" s="13"/>
      <c r="E1102" s="7" t="str">
        <f aca="false">IF(D1102="","",IFERROR(INDEX(Materiali!$B:$B,MATCH(D1102,Materiali!$A:$A,0)),"codice?"))</f>
        <v/>
      </c>
      <c r="F1102" s="13"/>
      <c r="G1102" s="13"/>
      <c r="H1102" s="9" t="str">
        <f aca="false">IF(D1102="","",IFERROR(INDEX(Materiali!$C:$C,MATCH(D1102,Materiali!$A:$A,0)),0))</f>
        <v/>
      </c>
      <c r="I1102" s="9" t="str">
        <f aca="false">IF(OR(G1102="",H1102=""),"",IF(F1102="Uscita",-1,1)*G1102*H1102)</f>
        <v/>
      </c>
      <c r="J1102" s="13"/>
      <c r="K1102" s="13"/>
    </row>
    <row r="1103" customFormat="false" ht="15" hidden="false" customHeight="false" outlineLevel="0" collapsed="false">
      <c r="A1103" s="12"/>
      <c r="B1103" s="13"/>
      <c r="C1103" s="13"/>
      <c r="D1103" s="13"/>
      <c r="E1103" s="7" t="str">
        <f aca="false">IF(D1103="","",IFERROR(INDEX(Materiali!$B:$B,MATCH(D1103,Materiali!$A:$A,0)),"codice?"))</f>
        <v/>
      </c>
      <c r="F1103" s="13"/>
      <c r="G1103" s="13"/>
      <c r="H1103" s="9" t="str">
        <f aca="false">IF(D1103="","",IFERROR(INDEX(Materiali!$C:$C,MATCH(D1103,Materiali!$A:$A,0)),0))</f>
        <v/>
      </c>
      <c r="I1103" s="9" t="str">
        <f aca="false">IF(OR(G1103="",H1103=""),"",IF(F1103="Uscita",-1,1)*G1103*H1103)</f>
        <v/>
      </c>
      <c r="J1103" s="13"/>
      <c r="K1103" s="13"/>
    </row>
    <row r="1104" customFormat="false" ht="15" hidden="false" customHeight="false" outlineLevel="0" collapsed="false">
      <c r="A1104" s="12"/>
      <c r="B1104" s="13"/>
      <c r="C1104" s="13"/>
      <c r="D1104" s="13"/>
      <c r="E1104" s="7" t="str">
        <f aca="false">IF(D1104="","",IFERROR(INDEX(Materiali!$B:$B,MATCH(D1104,Materiali!$A:$A,0)),"codice?"))</f>
        <v/>
      </c>
      <c r="F1104" s="13"/>
      <c r="G1104" s="13"/>
      <c r="H1104" s="9" t="str">
        <f aca="false">IF(D1104="","",IFERROR(INDEX(Materiali!$C:$C,MATCH(D1104,Materiali!$A:$A,0)),0))</f>
        <v/>
      </c>
      <c r="I1104" s="9" t="str">
        <f aca="false">IF(OR(G1104="",H1104=""),"",IF(F1104="Uscita",-1,1)*G1104*H1104)</f>
        <v/>
      </c>
      <c r="J1104" s="13"/>
      <c r="K1104" s="13"/>
    </row>
    <row r="1105" customFormat="false" ht="15" hidden="false" customHeight="false" outlineLevel="0" collapsed="false">
      <c r="A1105" s="12"/>
      <c r="B1105" s="13"/>
      <c r="C1105" s="13"/>
      <c r="D1105" s="13"/>
      <c r="E1105" s="7" t="str">
        <f aca="false">IF(D1105="","",IFERROR(INDEX(Materiali!$B:$B,MATCH(D1105,Materiali!$A:$A,0)),"codice?"))</f>
        <v/>
      </c>
      <c r="F1105" s="13"/>
      <c r="G1105" s="13"/>
      <c r="H1105" s="9" t="str">
        <f aca="false">IF(D1105="","",IFERROR(INDEX(Materiali!$C:$C,MATCH(D1105,Materiali!$A:$A,0)),0))</f>
        <v/>
      </c>
      <c r="I1105" s="9" t="str">
        <f aca="false">IF(OR(G1105="",H1105=""),"",IF(F1105="Uscita",-1,1)*G1105*H1105)</f>
        <v/>
      </c>
      <c r="J1105" s="13"/>
      <c r="K1105" s="13"/>
    </row>
    <row r="1106" customFormat="false" ht="15" hidden="false" customHeight="false" outlineLevel="0" collapsed="false">
      <c r="A1106" s="12"/>
      <c r="B1106" s="13"/>
      <c r="C1106" s="13"/>
      <c r="D1106" s="13"/>
      <c r="E1106" s="7" t="str">
        <f aca="false">IF(D1106="","",IFERROR(INDEX(Materiali!$B:$B,MATCH(D1106,Materiali!$A:$A,0)),"codice?"))</f>
        <v/>
      </c>
      <c r="F1106" s="13"/>
      <c r="G1106" s="13"/>
      <c r="H1106" s="9" t="str">
        <f aca="false">IF(D1106="","",IFERROR(INDEX(Materiali!$C:$C,MATCH(D1106,Materiali!$A:$A,0)),0))</f>
        <v/>
      </c>
      <c r="I1106" s="9" t="str">
        <f aca="false">IF(OR(G1106="",H1106=""),"",IF(F1106="Uscita",-1,1)*G1106*H1106)</f>
        <v/>
      </c>
      <c r="J1106" s="13"/>
      <c r="K1106" s="13"/>
    </row>
    <row r="1107" customFormat="false" ht="15" hidden="false" customHeight="false" outlineLevel="0" collapsed="false">
      <c r="A1107" s="12"/>
      <c r="B1107" s="13"/>
      <c r="C1107" s="13"/>
      <c r="D1107" s="13"/>
      <c r="E1107" s="7" t="str">
        <f aca="false">IF(D1107="","",IFERROR(INDEX(Materiali!$B:$B,MATCH(D1107,Materiali!$A:$A,0)),"codice?"))</f>
        <v/>
      </c>
      <c r="F1107" s="13"/>
      <c r="G1107" s="13"/>
      <c r="H1107" s="9" t="str">
        <f aca="false">IF(D1107="","",IFERROR(INDEX(Materiali!$C:$C,MATCH(D1107,Materiali!$A:$A,0)),0))</f>
        <v/>
      </c>
      <c r="I1107" s="9" t="str">
        <f aca="false">IF(OR(G1107="",H1107=""),"",IF(F1107="Uscita",-1,1)*G1107*H1107)</f>
        <v/>
      </c>
      <c r="J1107" s="13"/>
      <c r="K1107" s="13"/>
    </row>
    <row r="1108" customFormat="false" ht="15" hidden="false" customHeight="false" outlineLevel="0" collapsed="false">
      <c r="A1108" s="12"/>
      <c r="B1108" s="13"/>
      <c r="C1108" s="13"/>
      <c r="D1108" s="13"/>
      <c r="E1108" s="7" t="str">
        <f aca="false">IF(D1108="","",IFERROR(INDEX(Materiali!$B:$B,MATCH(D1108,Materiali!$A:$A,0)),"codice?"))</f>
        <v/>
      </c>
      <c r="F1108" s="13"/>
      <c r="G1108" s="13"/>
      <c r="H1108" s="9" t="str">
        <f aca="false">IF(D1108="","",IFERROR(INDEX(Materiali!$C:$C,MATCH(D1108,Materiali!$A:$A,0)),0))</f>
        <v/>
      </c>
      <c r="I1108" s="9" t="str">
        <f aca="false">IF(OR(G1108="",H1108=""),"",IF(F1108="Uscita",-1,1)*G1108*H1108)</f>
        <v/>
      </c>
      <c r="J1108" s="13"/>
      <c r="K1108" s="13"/>
    </row>
    <row r="1109" customFormat="false" ht="15" hidden="false" customHeight="false" outlineLevel="0" collapsed="false">
      <c r="A1109" s="12"/>
      <c r="B1109" s="13"/>
      <c r="C1109" s="13"/>
      <c r="D1109" s="13"/>
      <c r="E1109" s="7" t="str">
        <f aca="false">IF(D1109="","",IFERROR(INDEX(Materiali!$B:$B,MATCH(D1109,Materiali!$A:$A,0)),"codice?"))</f>
        <v/>
      </c>
      <c r="F1109" s="13"/>
      <c r="G1109" s="13"/>
      <c r="H1109" s="9" t="str">
        <f aca="false">IF(D1109="","",IFERROR(INDEX(Materiali!$C:$C,MATCH(D1109,Materiali!$A:$A,0)),0))</f>
        <v/>
      </c>
      <c r="I1109" s="9" t="str">
        <f aca="false">IF(OR(G1109="",H1109=""),"",IF(F1109="Uscita",-1,1)*G1109*H1109)</f>
        <v/>
      </c>
      <c r="J1109" s="13"/>
      <c r="K1109" s="13"/>
    </row>
    <row r="1110" customFormat="false" ht="15" hidden="false" customHeight="false" outlineLevel="0" collapsed="false">
      <c r="A1110" s="12"/>
      <c r="B1110" s="13"/>
      <c r="C1110" s="13"/>
      <c r="D1110" s="13"/>
      <c r="E1110" s="7" t="str">
        <f aca="false">IF(D1110="","",IFERROR(INDEX(Materiali!$B:$B,MATCH(D1110,Materiali!$A:$A,0)),"codice?"))</f>
        <v/>
      </c>
      <c r="F1110" s="13"/>
      <c r="G1110" s="13"/>
      <c r="H1110" s="9" t="str">
        <f aca="false">IF(D1110="","",IFERROR(INDEX(Materiali!$C:$C,MATCH(D1110,Materiali!$A:$A,0)),0))</f>
        <v/>
      </c>
      <c r="I1110" s="9" t="str">
        <f aca="false">IF(OR(G1110="",H1110=""),"",IF(F1110="Uscita",-1,1)*G1110*H1110)</f>
        <v/>
      </c>
      <c r="J1110" s="13"/>
      <c r="K1110" s="13"/>
    </row>
    <row r="1111" customFormat="false" ht="15" hidden="false" customHeight="false" outlineLevel="0" collapsed="false">
      <c r="A1111" s="12"/>
      <c r="B1111" s="13"/>
      <c r="C1111" s="13"/>
      <c r="D1111" s="13"/>
      <c r="E1111" s="7" t="str">
        <f aca="false">IF(D1111="","",IFERROR(INDEX(Materiali!$B:$B,MATCH(D1111,Materiali!$A:$A,0)),"codice?"))</f>
        <v/>
      </c>
      <c r="F1111" s="13"/>
      <c r="G1111" s="13"/>
      <c r="H1111" s="9" t="str">
        <f aca="false">IF(D1111="","",IFERROR(INDEX(Materiali!$C:$C,MATCH(D1111,Materiali!$A:$A,0)),0))</f>
        <v/>
      </c>
      <c r="I1111" s="9" t="str">
        <f aca="false">IF(OR(G1111="",H1111=""),"",IF(F1111="Uscita",-1,1)*G1111*H1111)</f>
        <v/>
      </c>
      <c r="J1111" s="13"/>
      <c r="K1111" s="13"/>
    </row>
    <row r="1112" customFormat="false" ht="15" hidden="false" customHeight="false" outlineLevel="0" collapsed="false">
      <c r="A1112" s="12"/>
      <c r="B1112" s="13"/>
      <c r="C1112" s="13"/>
      <c r="D1112" s="13"/>
      <c r="E1112" s="7" t="str">
        <f aca="false">IF(D1112="","",IFERROR(INDEX(Materiali!$B:$B,MATCH(D1112,Materiali!$A:$A,0)),"codice?"))</f>
        <v/>
      </c>
      <c r="F1112" s="13"/>
      <c r="G1112" s="13"/>
      <c r="H1112" s="9" t="str">
        <f aca="false">IF(D1112="","",IFERROR(INDEX(Materiali!$C:$C,MATCH(D1112,Materiali!$A:$A,0)),0))</f>
        <v/>
      </c>
      <c r="I1112" s="9" t="str">
        <f aca="false">IF(OR(G1112="",H1112=""),"",IF(F1112="Uscita",-1,1)*G1112*H1112)</f>
        <v/>
      </c>
      <c r="J1112" s="13"/>
      <c r="K1112" s="13"/>
    </row>
    <row r="1113" customFormat="false" ht="15" hidden="false" customHeight="false" outlineLevel="0" collapsed="false">
      <c r="A1113" s="12"/>
      <c r="B1113" s="13"/>
      <c r="C1113" s="13"/>
      <c r="D1113" s="13"/>
      <c r="E1113" s="7" t="str">
        <f aca="false">IF(D1113="","",IFERROR(INDEX(Materiali!$B:$B,MATCH(D1113,Materiali!$A:$A,0)),"codice?"))</f>
        <v/>
      </c>
      <c r="F1113" s="13"/>
      <c r="G1113" s="13"/>
      <c r="H1113" s="9" t="str">
        <f aca="false">IF(D1113="","",IFERROR(INDEX(Materiali!$C:$C,MATCH(D1113,Materiali!$A:$A,0)),0))</f>
        <v/>
      </c>
      <c r="I1113" s="9" t="str">
        <f aca="false">IF(OR(G1113="",H1113=""),"",IF(F1113="Uscita",-1,1)*G1113*H1113)</f>
        <v/>
      </c>
      <c r="J1113" s="13"/>
      <c r="K1113" s="13"/>
    </row>
    <row r="1114" customFormat="false" ht="15" hidden="false" customHeight="false" outlineLevel="0" collapsed="false">
      <c r="A1114" s="12"/>
      <c r="B1114" s="13"/>
      <c r="C1114" s="13"/>
      <c r="D1114" s="13"/>
      <c r="E1114" s="7" t="str">
        <f aca="false">IF(D1114="","",IFERROR(INDEX(Materiali!$B:$B,MATCH(D1114,Materiali!$A:$A,0)),"codice?"))</f>
        <v/>
      </c>
      <c r="F1114" s="13"/>
      <c r="G1114" s="13"/>
      <c r="H1114" s="9" t="str">
        <f aca="false">IF(D1114="","",IFERROR(INDEX(Materiali!$C:$C,MATCH(D1114,Materiali!$A:$A,0)),0))</f>
        <v/>
      </c>
      <c r="I1114" s="9" t="str">
        <f aca="false">IF(OR(G1114="",H1114=""),"",IF(F1114="Uscita",-1,1)*G1114*H1114)</f>
        <v/>
      </c>
      <c r="J1114" s="13"/>
      <c r="K1114" s="13"/>
    </row>
    <row r="1115" customFormat="false" ht="15" hidden="false" customHeight="false" outlineLevel="0" collapsed="false">
      <c r="A1115" s="12"/>
      <c r="B1115" s="13"/>
      <c r="C1115" s="13"/>
      <c r="D1115" s="13"/>
      <c r="E1115" s="7" t="str">
        <f aca="false">IF(D1115="","",IFERROR(INDEX(Materiali!$B:$B,MATCH(D1115,Materiali!$A:$A,0)),"codice?"))</f>
        <v/>
      </c>
      <c r="F1115" s="13"/>
      <c r="G1115" s="13"/>
      <c r="H1115" s="9" t="str">
        <f aca="false">IF(D1115="","",IFERROR(INDEX(Materiali!$C:$C,MATCH(D1115,Materiali!$A:$A,0)),0))</f>
        <v/>
      </c>
      <c r="I1115" s="9" t="str">
        <f aca="false">IF(OR(G1115="",H1115=""),"",IF(F1115="Uscita",-1,1)*G1115*H1115)</f>
        <v/>
      </c>
      <c r="J1115" s="13"/>
      <c r="K1115" s="13"/>
    </row>
    <row r="1116" customFormat="false" ht="15" hidden="false" customHeight="false" outlineLevel="0" collapsed="false">
      <c r="A1116" s="12"/>
      <c r="B1116" s="13"/>
      <c r="C1116" s="13"/>
      <c r="D1116" s="13"/>
      <c r="E1116" s="7" t="str">
        <f aca="false">IF(D1116="","",IFERROR(INDEX(Materiali!$B:$B,MATCH(D1116,Materiali!$A:$A,0)),"codice?"))</f>
        <v/>
      </c>
      <c r="F1116" s="13"/>
      <c r="G1116" s="13"/>
      <c r="H1116" s="9" t="str">
        <f aca="false">IF(D1116="","",IFERROR(INDEX(Materiali!$C:$C,MATCH(D1116,Materiali!$A:$A,0)),0))</f>
        <v/>
      </c>
      <c r="I1116" s="9" t="str">
        <f aca="false">IF(OR(G1116="",H1116=""),"",IF(F1116="Uscita",-1,1)*G1116*H1116)</f>
        <v/>
      </c>
      <c r="J1116" s="13"/>
      <c r="K1116" s="13"/>
    </row>
    <row r="1117" customFormat="false" ht="15" hidden="false" customHeight="false" outlineLevel="0" collapsed="false">
      <c r="A1117" s="12"/>
      <c r="B1117" s="13"/>
      <c r="C1117" s="13"/>
      <c r="D1117" s="13"/>
      <c r="E1117" s="7" t="str">
        <f aca="false">IF(D1117="","",IFERROR(INDEX(Materiali!$B:$B,MATCH(D1117,Materiali!$A:$A,0)),"codice?"))</f>
        <v/>
      </c>
      <c r="F1117" s="13"/>
      <c r="G1117" s="13"/>
      <c r="H1117" s="9" t="str">
        <f aca="false">IF(D1117="","",IFERROR(INDEX(Materiali!$C:$C,MATCH(D1117,Materiali!$A:$A,0)),0))</f>
        <v/>
      </c>
      <c r="I1117" s="9" t="str">
        <f aca="false">IF(OR(G1117="",H1117=""),"",IF(F1117="Uscita",-1,1)*G1117*H1117)</f>
        <v/>
      </c>
      <c r="J1117" s="13"/>
      <c r="K1117" s="13"/>
    </row>
    <row r="1118" customFormat="false" ht="15" hidden="false" customHeight="false" outlineLevel="0" collapsed="false">
      <c r="A1118" s="12"/>
      <c r="B1118" s="13"/>
      <c r="C1118" s="13"/>
      <c r="D1118" s="13"/>
      <c r="E1118" s="7" t="str">
        <f aca="false">IF(D1118="","",IFERROR(INDEX(Materiali!$B:$B,MATCH(D1118,Materiali!$A:$A,0)),"codice?"))</f>
        <v/>
      </c>
      <c r="F1118" s="13"/>
      <c r="G1118" s="13"/>
      <c r="H1118" s="9" t="str">
        <f aca="false">IF(D1118="","",IFERROR(INDEX(Materiali!$C:$C,MATCH(D1118,Materiali!$A:$A,0)),0))</f>
        <v/>
      </c>
      <c r="I1118" s="9" t="str">
        <f aca="false">IF(OR(G1118="",H1118=""),"",IF(F1118="Uscita",-1,1)*G1118*H1118)</f>
        <v/>
      </c>
      <c r="J1118" s="13"/>
      <c r="K1118" s="13"/>
    </row>
    <row r="1119" customFormat="false" ht="15" hidden="false" customHeight="false" outlineLevel="0" collapsed="false">
      <c r="A1119" s="12"/>
      <c r="B1119" s="13"/>
      <c r="C1119" s="13"/>
      <c r="D1119" s="13"/>
      <c r="E1119" s="7" t="str">
        <f aca="false">IF(D1119="","",IFERROR(INDEX(Materiali!$B:$B,MATCH(D1119,Materiali!$A:$A,0)),"codice?"))</f>
        <v/>
      </c>
      <c r="F1119" s="13"/>
      <c r="G1119" s="13"/>
      <c r="H1119" s="9" t="str">
        <f aca="false">IF(D1119="","",IFERROR(INDEX(Materiali!$C:$C,MATCH(D1119,Materiali!$A:$A,0)),0))</f>
        <v/>
      </c>
      <c r="I1119" s="9" t="str">
        <f aca="false">IF(OR(G1119="",H1119=""),"",IF(F1119="Uscita",-1,1)*G1119*H1119)</f>
        <v/>
      </c>
      <c r="J1119" s="13"/>
      <c r="K1119" s="13"/>
    </row>
    <row r="1120" customFormat="false" ht="15" hidden="false" customHeight="false" outlineLevel="0" collapsed="false">
      <c r="A1120" s="12"/>
      <c r="B1120" s="13"/>
      <c r="C1120" s="13"/>
      <c r="D1120" s="13"/>
      <c r="E1120" s="7" t="str">
        <f aca="false">IF(D1120="","",IFERROR(INDEX(Materiali!$B:$B,MATCH(D1120,Materiali!$A:$A,0)),"codice?"))</f>
        <v/>
      </c>
      <c r="F1120" s="13"/>
      <c r="G1120" s="13"/>
      <c r="H1120" s="9" t="str">
        <f aca="false">IF(D1120="","",IFERROR(INDEX(Materiali!$C:$C,MATCH(D1120,Materiali!$A:$A,0)),0))</f>
        <v/>
      </c>
      <c r="I1120" s="9" t="str">
        <f aca="false">IF(OR(G1120="",H1120=""),"",IF(F1120="Uscita",-1,1)*G1120*H1120)</f>
        <v/>
      </c>
      <c r="J1120" s="13"/>
      <c r="K1120" s="13"/>
    </row>
    <row r="1121" customFormat="false" ht="15" hidden="false" customHeight="false" outlineLevel="0" collapsed="false">
      <c r="A1121" s="12"/>
      <c r="B1121" s="13"/>
      <c r="C1121" s="13"/>
      <c r="D1121" s="13"/>
      <c r="E1121" s="7" t="str">
        <f aca="false">IF(D1121="","",IFERROR(INDEX(Materiali!$B:$B,MATCH(D1121,Materiali!$A:$A,0)),"codice?"))</f>
        <v/>
      </c>
      <c r="F1121" s="13"/>
      <c r="G1121" s="13"/>
      <c r="H1121" s="9" t="str">
        <f aca="false">IF(D1121="","",IFERROR(INDEX(Materiali!$C:$C,MATCH(D1121,Materiali!$A:$A,0)),0))</f>
        <v/>
      </c>
      <c r="I1121" s="9" t="str">
        <f aca="false">IF(OR(G1121="",H1121=""),"",IF(F1121="Uscita",-1,1)*G1121*H1121)</f>
        <v/>
      </c>
      <c r="J1121" s="13"/>
      <c r="K1121" s="13"/>
    </row>
    <row r="1122" customFormat="false" ht="15" hidden="false" customHeight="false" outlineLevel="0" collapsed="false">
      <c r="A1122" s="12"/>
      <c r="B1122" s="13"/>
      <c r="C1122" s="13"/>
      <c r="D1122" s="13"/>
      <c r="E1122" s="7" t="str">
        <f aca="false">IF(D1122="","",IFERROR(INDEX(Materiali!$B:$B,MATCH(D1122,Materiali!$A:$A,0)),"codice?"))</f>
        <v/>
      </c>
      <c r="F1122" s="13"/>
      <c r="G1122" s="13"/>
      <c r="H1122" s="9" t="str">
        <f aca="false">IF(D1122="","",IFERROR(INDEX(Materiali!$C:$C,MATCH(D1122,Materiali!$A:$A,0)),0))</f>
        <v/>
      </c>
      <c r="I1122" s="9" t="str">
        <f aca="false">IF(OR(G1122="",H1122=""),"",IF(F1122="Uscita",-1,1)*G1122*H1122)</f>
        <v/>
      </c>
      <c r="J1122" s="13"/>
      <c r="K1122" s="13"/>
    </row>
    <row r="1123" customFormat="false" ht="15" hidden="false" customHeight="false" outlineLevel="0" collapsed="false">
      <c r="A1123" s="12"/>
      <c r="B1123" s="13"/>
      <c r="C1123" s="13"/>
      <c r="D1123" s="13"/>
      <c r="E1123" s="7" t="str">
        <f aca="false">IF(D1123="","",IFERROR(INDEX(Materiali!$B:$B,MATCH(D1123,Materiali!$A:$A,0)),"codice?"))</f>
        <v/>
      </c>
      <c r="F1123" s="13"/>
      <c r="G1123" s="13"/>
      <c r="H1123" s="9" t="str">
        <f aca="false">IF(D1123="","",IFERROR(INDEX(Materiali!$C:$C,MATCH(D1123,Materiali!$A:$A,0)),0))</f>
        <v/>
      </c>
      <c r="I1123" s="9" t="str">
        <f aca="false">IF(OR(G1123="",H1123=""),"",IF(F1123="Uscita",-1,1)*G1123*H1123)</f>
        <v/>
      </c>
      <c r="J1123" s="13"/>
      <c r="K1123" s="13"/>
    </row>
    <row r="1124" customFormat="false" ht="15" hidden="false" customHeight="false" outlineLevel="0" collapsed="false">
      <c r="A1124" s="12"/>
      <c r="B1124" s="13"/>
      <c r="C1124" s="13"/>
      <c r="D1124" s="13"/>
      <c r="E1124" s="7" t="str">
        <f aca="false">IF(D1124="","",IFERROR(INDEX(Materiali!$B:$B,MATCH(D1124,Materiali!$A:$A,0)),"codice?"))</f>
        <v/>
      </c>
      <c r="F1124" s="13"/>
      <c r="G1124" s="13"/>
      <c r="H1124" s="9" t="str">
        <f aca="false">IF(D1124="","",IFERROR(INDEX(Materiali!$C:$C,MATCH(D1124,Materiali!$A:$A,0)),0))</f>
        <v/>
      </c>
      <c r="I1124" s="9" t="str">
        <f aca="false">IF(OR(G1124="",H1124=""),"",IF(F1124="Uscita",-1,1)*G1124*H1124)</f>
        <v/>
      </c>
      <c r="J1124" s="13"/>
      <c r="K1124" s="13"/>
    </row>
    <row r="1125" customFormat="false" ht="15" hidden="false" customHeight="false" outlineLevel="0" collapsed="false">
      <c r="A1125" s="12"/>
      <c r="B1125" s="13"/>
      <c r="C1125" s="13"/>
      <c r="D1125" s="13"/>
      <c r="E1125" s="7" t="str">
        <f aca="false">IF(D1125="","",IFERROR(INDEX(Materiali!$B:$B,MATCH(D1125,Materiali!$A:$A,0)),"codice?"))</f>
        <v/>
      </c>
      <c r="F1125" s="13"/>
      <c r="G1125" s="13"/>
      <c r="H1125" s="9" t="str">
        <f aca="false">IF(D1125="","",IFERROR(INDEX(Materiali!$C:$C,MATCH(D1125,Materiali!$A:$A,0)),0))</f>
        <v/>
      </c>
      <c r="I1125" s="9" t="str">
        <f aca="false">IF(OR(G1125="",H1125=""),"",IF(F1125="Uscita",-1,1)*G1125*H1125)</f>
        <v/>
      </c>
      <c r="J1125" s="13"/>
      <c r="K1125" s="13"/>
    </row>
    <row r="1126" customFormat="false" ht="15" hidden="false" customHeight="false" outlineLevel="0" collapsed="false">
      <c r="A1126" s="12"/>
      <c r="B1126" s="13"/>
      <c r="C1126" s="13"/>
      <c r="D1126" s="13"/>
      <c r="E1126" s="7" t="str">
        <f aca="false">IF(D1126="","",IFERROR(INDEX(Materiali!$B:$B,MATCH(D1126,Materiali!$A:$A,0)),"codice?"))</f>
        <v/>
      </c>
      <c r="F1126" s="13"/>
      <c r="G1126" s="13"/>
      <c r="H1126" s="9" t="str">
        <f aca="false">IF(D1126="","",IFERROR(INDEX(Materiali!$C:$C,MATCH(D1126,Materiali!$A:$A,0)),0))</f>
        <v/>
      </c>
      <c r="I1126" s="9" t="str">
        <f aca="false">IF(OR(G1126="",H1126=""),"",IF(F1126="Uscita",-1,1)*G1126*H1126)</f>
        <v/>
      </c>
      <c r="J1126" s="13"/>
      <c r="K1126" s="13"/>
    </row>
    <row r="1127" customFormat="false" ht="15" hidden="false" customHeight="false" outlineLevel="0" collapsed="false">
      <c r="A1127" s="12"/>
      <c r="B1127" s="13"/>
      <c r="C1127" s="13"/>
      <c r="D1127" s="13"/>
      <c r="E1127" s="7" t="str">
        <f aca="false">IF(D1127="","",IFERROR(INDEX(Materiali!$B:$B,MATCH(D1127,Materiali!$A:$A,0)),"codice?"))</f>
        <v/>
      </c>
      <c r="F1127" s="13"/>
      <c r="G1127" s="13"/>
      <c r="H1127" s="9" t="str">
        <f aca="false">IF(D1127="","",IFERROR(INDEX(Materiali!$C:$C,MATCH(D1127,Materiali!$A:$A,0)),0))</f>
        <v/>
      </c>
      <c r="I1127" s="9" t="str">
        <f aca="false">IF(OR(G1127="",H1127=""),"",IF(F1127="Uscita",-1,1)*G1127*H1127)</f>
        <v/>
      </c>
      <c r="J1127" s="13"/>
      <c r="K1127" s="13"/>
    </row>
    <row r="1128" customFormat="false" ht="15" hidden="false" customHeight="false" outlineLevel="0" collapsed="false">
      <c r="A1128" s="12"/>
      <c r="B1128" s="13"/>
      <c r="C1128" s="13"/>
      <c r="D1128" s="13"/>
      <c r="E1128" s="7" t="str">
        <f aca="false">IF(D1128="","",IFERROR(INDEX(Materiali!$B:$B,MATCH(D1128,Materiali!$A:$A,0)),"codice?"))</f>
        <v/>
      </c>
      <c r="F1128" s="13"/>
      <c r="G1128" s="13"/>
      <c r="H1128" s="9" t="str">
        <f aca="false">IF(D1128="","",IFERROR(INDEX(Materiali!$C:$C,MATCH(D1128,Materiali!$A:$A,0)),0))</f>
        <v/>
      </c>
      <c r="I1128" s="9" t="str">
        <f aca="false">IF(OR(G1128="",H1128=""),"",IF(F1128="Uscita",-1,1)*G1128*H1128)</f>
        <v/>
      </c>
      <c r="J1128" s="13"/>
      <c r="K1128" s="13"/>
    </row>
    <row r="1129" customFormat="false" ht="15" hidden="false" customHeight="false" outlineLevel="0" collapsed="false">
      <c r="A1129" s="12"/>
      <c r="B1129" s="13"/>
      <c r="C1129" s="13"/>
      <c r="D1129" s="13"/>
      <c r="E1129" s="7" t="str">
        <f aca="false">IF(D1129="","",IFERROR(INDEX(Materiali!$B:$B,MATCH(D1129,Materiali!$A:$A,0)),"codice?"))</f>
        <v/>
      </c>
      <c r="F1129" s="13"/>
      <c r="G1129" s="13"/>
      <c r="H1129" s="9" t="str">
        <f aca="false">IF(D1129="","",IFERROR(INDEX(Materiali!$C:$C,MATCH(D1129,Materiali!$A:$A,0)),0))</f>
        <v/>
      </c>
      <c r="I1129" s="9" t="str">
        <f aca="false">IF(OR(G1129="",H1129=""),"",IF(F1129="Uscita",-1,1)*G1129*H1129)</f>
        <v/>
      </c>
      <c r="J1129" s="13"/>
      <c r="K1129" s="13"/>
    </row>
    <row r="1130" customFormat="false" ht="15" hidden="false" customHeight="false" outlineLevel="0" collapsed="false">
      <c r="A1130" s="12"/>
      <c r="B1130" s="13"/>
      <c r="C1130" s="13"/>
      <c r="D1130" s="13"/>
      <c r="E1130" s="7" t="str">
        <f aca="false">IF(D1130="","",IFERROR(INDEX(Materiali!$B:$B,MATCH(D1130,Materiali!$A:$A,0)),"codice?"))</f>
        <v/>
      </c>
      <c r="F1130" s="13"/>
      <c r="G1130" s="13"/>
      <c r="H1130" s="9" t="str">
        <f aca="false">IF(D1130="","",IFERROR(INDEX(Materiali!$C:$C,MATCH(D1130,Materiali!$A:$A,0)),0))</f>
        <v/>
      </c>
      <c r="I1130" s="9" t="str">
        <f aca="false">IF(OR(G1130="",H1130=""),"",IF(F1130="Uscita",-1,1)*G1130*H1130)</f>
        <v/>
      </c>
      <c r="J1130" s="13"/>
      <c r="K1130" s="13"/>
    </row>
    <row r="1131" customFormat="false" ht="15" hidden="false" customHeight="false" outlineLevel="0" collapsed="false">
      <c r="A1131" s="12"/>
      <c r="B1131" s="13"/>
      <c r="C1131" s="13"/>
      <c r="D1131" s="13"/>
      <c r="E1131" s="7" t="str">
        <f aca="false">IF(D1131="","",IFERROR(INDEX(Materiali!$B:$B,MATCH(D1131,Materiali!$A:$A,0)),"codice?"))</f>
        <v/>
      </c>
      <c r="F1131" s="13"/>
      <c r="G1131" s="13"/>
      <c r="H1131" s="9" t="str">
        <f aca="false">IF(D1131="","",IFERROR(INDEX(Materiali!$C:$C,MATCH(D1131,Materiali!$A:$A,0)),0))</f>
        <v/>
      </c>
      <c r="I1131" s="9" t="str">
        <f aca="false">IF(OR(G1131="",H1131=""),"",IF(F1131="Uscita",-1,1)*G1131*H1131)</f>
        <v/>
      </c>
      <c r="J1131" s="13"/>
      <c r="K1131" s="13"/>
    </row>
    <row r="1132" customFormat="false" ht="15" hidden="false" customHeight="false" outlineLevel="0" collapsed="false">
      <c r="A1132" s="12"/>
      <c r="B1132" s="13"/>
      <c r="C1132" s="13"/>
      <c r="D1132" s="13"/>
      <c r="E1132" s="7" t="str">
        <f aca="false">IF(D1132="","",IFERROR(INDEX(Materiali!$B:$B,MATCH(D1132,Materiali!$A:$A,0)),"codice?"))</f>
        <v/>
      </c>
      <c r="F1132" s="13"/>
      <c r="G1132" s="13"/>
      <c r="H1132" s="9" t="str">
        <f aca="false">IF(D1132="","",IFERROR(INDEX(Materiali!$C:$C,MATCH(D1132,Materiali!$A:$A,0)),0))</f>
        <v/>
      </c>
      <c r="I1132" s="9" t="str">
        <f aca="false">IF(OR(G1132="",H1132=""),"",IF(F1132="Uscita",-1,1)*G1132*H1132)</f>
        <v/>
      </c>
      <c r="J1132" s="13"/>
      <c r="K1132" s="13"/>
    </row>
    <row r="1133" customFormat="false" ht="15" hidden="false" customHeight="false" outlineLevel="0" collapsed="false">
      <c r="A1133" s="12"/>
      <c r="B1133" s="13"/>
      <c r="C1133" s="13"/>
      <c r="D1133" s="13"/>
      <c r="E1133" s="7" t="str">
        <f aca="false">IF(D1133="","",IFERROR(INDEX(Materiali!$B:$B,MATCH(D1133,Materiali!$A:$A,0)),"codice?"))</f>
        <v/>
      </c>
      <c r="F1133" s="13"/>
      <c r="G1133" s="13"/>
      <c r="H1133" s="9" t="str">
        <f aca="false">IF(D1133="","",IFERROR(INDEX(Materiali!$C:$C,MATCH(D1133,Materiali!$A:$A,0)),0))</f>
        <v/>
      </c>
      <c r="I1133" s="9" t="str">
        <f aca="false">IF(OR(G1133="",H1133=""),"",IF(F1133="Uscita",-1,1)*G1133*H1133)</f>
        <v/>
      </c>
      <c r="J1133" s="13"/>
      <c r="K1133" s="13"/>
    </row>
    <row r="1134" customFormat="false" ht="15" hidden="false" customHeight="false" outlineLevel="0" collapsed="false">
      <c r="A1134" s="12"/>
      <c r="B1134" s="13"/>
      <c r="C1134" s="13"/>
      <c r="D1134" s="13"/>
      <c r="E1134" s="7" t="str">
        <f aca="false">IF(D1134="","",IFERROR(INDEX(Materiali!$B:$B,MATCH(D1134,Materiali!$A:$A,0)),"codice?"))</f>
        <v/>
      </c>
      <c r="F1134" s="13"/>
      <c r="G1134" s="13"/>
      <c r="H1134" s="9" t="str">
        <f aca="false">IF(D1134="","",IFERROR(INDEX(Materiali!$C:$C,MATCH(D1134,Materiali!$A:$A,0)),0))</f>
        <v/>
      </c>
      <c r="I1134" s="9" t="str">
        <f aca="false">IF(OR(G1134="",H1134=""),"",IF(F1134="Uscita",-1,1)*G1134*H1134)</f>
        <v/>
      </c>
      <c r="J1134" s="13"/>
      <c r="K1134" s="13"/>
    </row>
    <row r="1135" customFormat="false" ht="15" hidden="false" customHeight="false" outlineLevel="0" collapsed="false">
      <c r="A1135" s="12"/>
      <c r="B1135" s="13"/>
      <c r="C1135" s="13"/>
      <c r="D1135" s="13"/>
      <c r="E1135" s="7" t="str">
        <f aca="false">IF(D1135="","",IFERROR(INDEX(Materiali!$B:$B,MATCH(D1135,Materiali!$A:$A,0)),"codice?"))</f>
        <v/>
      </c>
      <c r="F1135" s="13"/>
      <c r="G1135" s="13"/>
      <c r="H1135" s="9" t="str">
        <f aca="false">IF(D1135="","",IFERROR(INDEX(Materiali!$C:$C,MATCH(D1135,Materiali!$A:$A,0)),0))</f>
        <v/>
      </c>
      <c r="I1135" s="9" t="str">
        <f aca="false">IF(OR(G1135="",H1135=""),"",IF(F1135="Uscita",-1,1)*G1135*H1135)</f>
        <v/>
      </c>
      <c r="J1135" s="13"/>
      <c r="K1135" s="13"/>
    </row>
    <row r="1136" customFormat="false" ht="15" hidden="false" customHeight="false" outlineLevel="0" collapsed="false">
      <c r="A1136" s="12"/>
      <c r="B1136" s="13"/>
      <c r="C1136" s="13"/>
      <c r="D1136" s="13"/>
      <c r="E1136" s="7" t="str">
        <f aca="false">IF(D1136="","",IFERROR(INDEX(Materiali!$B:$B,MATCH(D1136,Materiali!$A:$A,0)),"codice?"))</f>
        <v/>
      </c>
      <c r="F1136" s="13"/>
      <c r="G1136" s="13"/>
      <c r="H1136" s="9" t="str">
        <f aca="false">IF(D1136="","",IFERROR(INDEX(Materiali!$C:$C,MATCH(D1136,Materiali!$A:$A,0)),0))</f>
        <v/>
      </c>
      <c r="I1136" s="9" t="str">
        <f aca="false">IF(OR(G1136="",H1136=""),"",IF(F1136="Uscita",-1,1)*G1136*H1136)</f>
        <v/>
      </c>
      <c r="J1136" s="13"/>
      <c r="K1136" s="13"/>
    </row>
    <row r="1137" customFormat="false" ht="15" hidden="false" customHeight="false" outlineLevel="0" collapsed="false">
      <c r="A1137" s="12"/>
      <c r="B1137" s="13"/>
      <c r="C1137" s="13"/>
      <c r="D1137" s="13"/>
      <c r="E1137" s="7" t="str">
        <f aca="false">IF(D1137="","",IFERROR(INDEX(Materiali!$B:$B,MATCH(D1137,Materiali!$A:$A,0)),"codice?"))</f>
        <v/>
      </c>
      <c r="F1137" s="13"/>
      <c r="G1137" s="13"/>
      <c r="H1137" s="9" t="str">
        <f aca="false">IF(D1137="","",IFERROR(INDEX(Materiali!$C:$C,MATCH(D1137,Materiali!$A:$A,0)),0))</f>
        <v/>
      </c>
      <c r="I1137" s="9" t="str">
        <f aca="false">IF(OR(G1137="",H1137=""),"",IF(F1137="Uscita",-1,1)*G1137*H1137)</f>
        <v/>
      </c>
      <c r="J1137" s="13"/>
      <c r="K1137" s="13"/>
    </row>
    <row r="1138" customFormat="false" ht="15" hidden="false" customHeight="false" outlineLevel="0" collapsed="false">
      <c r="A1138" s="12"/>
      <c r="B1138" s="13"/>
      <c r="C1138" s="13"/>
      <c r="D1138" s="13"/>
      <c r="E1138" s="7" t="str">
        <f aca="false">IF(D1138="","",IFERROR(INDEX(Materiali!$B:$B,MATCH(D1138,Materiali!$A:$A,0)),"codice?"))</f>
        <v/>
      </c>
      <c r="F1138" s="13"/>
      <c r="G1138" s="13"/>
      <c r="H1138" s="9" t="str">
        <f aca="false">IF(D1138="","",IFERROR(INDEX(Materiali!$C:$C,MATCH(D1138,Materiali!$A:$A,0)),0))</f>
        <v/>
      </c>
      <c r="I1138" s="9" t="str">
        <f aca="false">IF(OR(G1138="",H1138=""),"",IF(F1138="Uscita",-1,1)*G1138*H1138)</f>
        <v/>
      </c>
      <c r="J1138" s="13"/>
      <c r="K1138" s="13"/>
    </row>
    <row r="1139" customFormat="false" ht="15" hidden="false" customHeight="false" outlineLevel="0" collapsed="false">
      <c r="A1139" s="12"/>
      <c r="B1139" s="13"/>
      <c r="C1139" s="13"/>
      <c r="D1139" s="13"/>
      <c r="E1139" s="7" t="str">
        <f aca="false">IF(D1139="","",IFERROR(INDEX(Materiali!$B:$B,MATCH(D1139,Materiali!$A:$A,0)),"codice?"))</f>
        <v/>
      </c>
      <c r="F1139" s="13"/>
      <c r="G1139" s="13"/>
      <c r="H1139" s="9" t="str">
        <f aca="false">IF(D1139="","",IFERROR(INDEX(Materiali!$C:$C,MATCH(D1139,Materiali!$A:$A,0)),0))</f>
        <v/>
      </c>
      <c r="I1139" s="9" t="str">
        <f aca="false">IF(OR(G1139="",H1139=""),"",IF(F1139="Uscita",-1,1)*G1139*H1139)</f>
        <v/>
      </c>
      <c r="J1139" s="13"/>
      <c r="K1139" s="13"/>
    </row>
    <row r="1140" customFormat="false" ht="15" hidden="false" customHeight="false" outlineLevel="0" collapsed="false">
      <c r="A1140" s="12"/>
      <c r="B1140" s="13"/>
      <c r="C1140" s="13"/>
      <c r="D1140" s="13"/>
      <c r="E1140" s="7" t="str">
        <f aca="false">IF(D1140="","",IFERROR(INDEX(Materiali!$B:$B,MATCH(D1140,Materiali!$A:$A,0)),"codice?"))</f>
        <v/>
      </c>
      <c r="F1140" s="13"/>
      <c r="G1140" s="13"/>
      <c r="H1140" s="9" t="str">
        <f aca="false">IF(D1140="","",IFERROR(INDEX(Materiali!$C:$C,MATCH(D1140,Materiali!$A:$A,0)),0))</f>
        <v/>
      </c>
      <c r="I1140" s="9" t="str">
        <f aca="false">IF(OR(G1140="",H1140=""),"",IF(F1140="Uscita",-1,1)*G1140*H1140)</f>
        <v/>
      </c>
      <c r="J1140" s="13"/>
      <c r="K1140" s="13"/>
    </row>
    <row r="1141" customFormat="false" ht="15" hidden="false" customHeight="false" outlineLevel="0" collapsed="false">
      <c r="A1141" s="12"/>
      <c r="B1141" s="13"/>
      <c r="C1141" s="13"/>
      <c r="D1141" s="13"/>
      <c r="E1141" s="7" t="str">
        <f aca="false">IF(D1141="","",IFERROR(INDEX(Materiali!$B:$B,MATCH(D1141,Materiali!$A:$A,0)),"codice?"))</f>
        <v/>
      </c>
      <c r="F1141" s="13"/>
      <c r="G1141" s="13"/>
      <c r="H1141" s="9" t="str">
        <f aca="false">IF(D1141="","",IFERROR(INDEX(Materiali!$C:$C,MATCH(D1141,Materiali!$A:$A,0)),0))</f>
        <v/>
      </c>
      <c r="I1141" s="9" t="str">
        <f aca="false">IF(OR(G1141="",H1141=""),"",IF(F1141="Uscita",-1,1)*G1141*H1141)</f>
        <v/>
      </c>
      <c r="J1141" s="13"/>
      <c r="K1141" s="13"/>
    </row>
    <row r="1142" customFormat="false" ht="15" hidden="false" customHeight="false" outlineLevel="0" collapsed="false">
      <c r="A1142" s="12"/>
      <c r="B1142" s="13"/>
      <c r="C1142" s="13"/>
      <c r="D1142" s="13"/>
      <c r="E1142" s="7" t="str">
        <f aca="false">IF(D1142="","",IFERROR(INDEX(Materiali!$B:$B,MATCH(D1142,Materiali!$A:$A,0)),"codice?"))</f>
        <v/>
      </c>
      <c r="F1142" s="13"/>
      <c r="G1142" s="13"/>
      <c r="H1142" s="9" t="str">
        <f aca="false">IF(D1142="","",IFERROR(INDEX(Materiali!$C:$C,MATCH(D1142,Materiali!$A:$A,0)),0))</f>
        <v/>
      </c>
      <c r="I1142" s="9" t="str">
        <f aca="false">IF(OR(G1142="",H1142=""),"",IF(F1142="Uscita",-1,1)*G1142*H1142)</f>
        <v/>
      </c>
      <c r="J1142" s="13"/>
      <c r="K1142" s="13"/>
    </row>
    <row r="1143" customFormat="false" ht="15" hidden="false" customHeight="false" outlineLevel="0" collapsed="false">
      <c r="A1143" s="12"/>
      <c r="B1143" s="13"/>
      <c r="C1143" s="13"/>
      <c r="D1143" s="13"/>
      <c r="E1143" s="7" t="str">
        <f aca="false">IF(D1143="","",IFERROR(INDEX(Materiali!$B:$B,MATCH(D1143,Materiali!$A:$A,0)),"codice?"))</f>
        <v/>
      </c>
      <c r="F1143" s="13"/>
      <c r="G1143" s="13"/>
      <c r="H1143" s="9" t="str">
        <f aca="false">IF(D1143="","",IFERROR(INDEX(Materiali!$C:$C,MATCH(D1143,Materiali!$A:$A,0)),0))</f>
        <v/>
      </c>
      <c r="I1143" s="9" t="str">
        <f aca="false">IF(OR(G1143="",H1143=""),"",IF(F1143="Uscita",-1,1)*G1143*H1143)</f>
        <v/>
      </c>
      <c r="J1143" s="13"/>
      <c r="K1143" s="13"/>
    </row>
    <row r="1144" customFormat="false" ht="15" hidden="false" customHeight="false" outlineLevel="0" collapsed="false">
      <c r="A1144" s="12"/>
      <c r="B1144" s="13"/>
      <c r="C1144" s="13"/>
      <c r="D1144" s="13"/>
      <c r="E1144" s="7" t="str">
        <f aca="false">IF(D1144="","",IFERROR(INDEX(Materiali!$B:$B,MATCH(D1144,Materiali!$A:$A,0)),"codice?"))</f>
        <v/>
      </c>
      <c r="F1144" s="13"/>
      <c r="G1144" s="13"/>
      <c r="H1144" s="9" t="str">
        <f aca="false">IF(D1144="","",IFERROR(INDEX(Materiali!$C:$C,MATCH(D1144,Materiali!$A:$A,0)),0))</f>
        <v/>
      </c>
      <c r="I1144" s="9" t="str">
        <f aca="false">IF(OR(G1144="",H1144=""),"",IF(F1144="Uscita",-1,1)*G1144*H1144)</f>
        <v/>
      </c>
      <c r="J1144" s="13"/>
      <c r="K1144" s="13"/>
    </row>
    <row r="1145" customFormat="false" ht="15" hidden="false" customHeight="false" outlineLevel="0" collapsed="false">
      <c r="A1145" s="12"/>
      <c r="B1145" s="13"/>
      <c r="C1145" s="13"/>
      <c r="D1145" s="13"/>
      <c r="E1145" s="7" t="str">
        <f aca="false">IF(D1145="","",IFERROR(INDEX(Materiali!$B:$B,MATCH(D1145,Materiali!$A:$A,0)),"codice?"))</f>
        <v/>
      </c>
      <c r="F1145" s="13"/>
      <c r="G1145" s="13"/>
      <c r="H1145" s="9" t="str">
        <f aca="false">IF(D1145="","",IFERROR(INDEX(Materiali!$C:$C,MATCH(D1145,Materiali!$A:$A,0)),0))</f>
        <v/>
      </c>
      <c r="I1145" s="9" t="str">
        <f aca="false">IF(OR(G1145="",H1145=""),"",IF(F1145="Uscita",-1,1)*G1145*H1145)</f>
        <v/>
      </c>
      <c r="J1145" s="13"/>
      <c r="K1145" s="13"/>
    </row>
    <row r="1146" customFormat="false" ht="15" hidden="false" customHeight="false" outlineLevel="0" collapsed="false">
      <c r="A1146" s="12"/>
      <c r="B1146" s="13"/>
      <c r="C1146" s="13"/>
      <c r="D1146" s="13"/>
      <c r="E1146" s="7" t="str">
        <f aca="false">IF(D1146="","",IFERROR(INDEX(Materiali!$B:$B,MATCH(D1146,Materiali!$A:$A,0)),"codice?"))</f>
        <v/>
      </c>
      <c r="F1146" s="13"/>
      <c r="G1146" s="13"/>
      <c r="H1146" s="9" t="str">
        <f aca="false">IF(D1146="","",IFERROR(INDEX(Materiali!$C:$C,MATCH(D1146,Materiali!$A:$A,0)),0))</f>
        <v/>
      </c>
      <c r="I1146" s="9" t="str">
        <f aca="false">IF(OR(G1146="",H1146=""),"",IF(F1146="Uscita",-1,1)*G1146*H1146)</f>
        <v/>
      </c>
      <c r="J1146" s="13"/>
      <c r="K1146" s="13"/>
    </row>
    <row r="1147" customFormat="false" ht="15" hidden="false" customHeight="false" outlineLevel="0" collapsed="false">
      <c r="A1147" s="12"/>
      <c r="B1147" s="13"/>
      <c r="C1147" s="13"/>
      <c r="D1147" s="13"/>
      <c r="E1147" s="7" t="str">
        <f aca="false">IF(D1147="","",IFERROR(INDEX(Materiali!$B:$B,MATCH(D1147,Materiali!$A:$A,0)),"codice?"))</f>
        <v/>
      </c>
      <c r="F1147" s="13"/>
      <c r="G1147" s="13"/>
      <c r="H1147" s="9" t="str">
        <f aca="false">IF(D1147="","",IFERROR(INDEX(Materiali!$C:$C,MATCH(D1147,Materiali!$A:$A,0)),0))</f>
        <v/>
      </c>
      <c r="I1147" s="9" t="str">
        <f aca="false">IF(OR(G1147="",H1147=""),"",IF(F1147="Uscita",-1,1)*G1147*H1147)</f>
        <v/>
      </c>
      <c r="J1147" s="13"/>
      <c r="K1147" s="13"/>
    </row>
    <row r="1148" customFormat="false" ht="15" hidden="false" customHeight="false" outlineLevel="0" collapsed="false">
      <c r="A1148" s="12"/>
      <c r="B1148" s="13"/>
      <c r="C1148" s="13"/>
      <c r="D1148" s="13"/>
      <c r="E1148" s="7" t="str">
        <f aca="false">IF(D1148="","",IFERROR(INDEX(Materiali!$B:$B,MATCH(D1148,Materiali!$A:$A,0)),"codice?"))</f>
        <v/>
      </c>
      <c r="F1148" s="13"/>
      <c r="G1148" s="13"/>
      <c r="H1148" s="9" t="str">
        <f aca="false">IF(D1148="","",IFERROR(INDEX(Materiali!$C:$C,MATCH(D1148,Materiali!$A:$A,0)),0))</f>
        <v/>
      </c>
      <c r="I1148" s="9" t="str">
        <f aca="false">IF(OR(G1148="",H1148=""),"",IF(F1148="Uscita",-1,1)*G1148*H1148)</f>
        <v/>
      </c>
      <c r="J1148" s="13"/>
      <c r="K1148" s="13"/>
    </row>
    <row r="1149" customFormat="false" ht="15" hidden="false" customHeight="false" outlineLevel="0" collapsed="false">
      <c r="A1149" s="12"/>
      <c r="B1149" s="13"/>
      <c r="C1149" s="13"/>
      <c r="D1149" s="13"/>
      <c r="E1149" s="7" t="str">
        <f aca="false">IF(D1149="","",IFERROR(INDEX(Materiali!$B:$B,MATCH(D1149,Materiali!$A:$A,0)),"codice?"))</f>
        <v/>
      </c>
      <c r="F1149" s="13"/>
      <c r="G1149" s="13"/>
      <c r="H1149" s="9" t="str">
        <f aca="false">IF(D1149="","",IFERROR(INDEX(Materiali!$C:$C,MATCH(D1149,Materiali!$A:$A,0)),0))</f>
        <v/>
      </c>
      <c r="I1149" s="9" t="str">
        <f aca="false">IF(OR(G1149="",H1149=""),"",IF(F1149="Uscita",-1,1)*G1149*H1149)</f>
        <v/>
      </c>
      <c r="J1149" s="13"/>
      <c r="K1149" s="13"/>
    </row>
    <row r="1150" customFormat="false" ht="15" hidden="false" customHeight="false" outlineLevel="0" collapsed="false">
      <c r="A1150" s="12"/>
      <c r="B1150" s="13"/>
      <c r="C1150" s="13"/>
      <c r="D1150" s="13"/>
      <c r="E1150" s="7" t="str">
        <f aca="false">IF(D1150="","",IFERROR(INDEX(Materiali!$B:$B,MATCH(D1150,Materiali!$A:$A,0)),"codice?"))</f>
        <v/>
      </c>
      <c r="F1150" s="13"/>
      <c r="G1150" s="13"/>
      <c r="H1150" s="9" t="str">
        <f aca="false">IF(D1150="","",IFERROR(INDEX(Materiali!$C:$C,MATCH(D1150,Materiali!$A:$A,0)),0))</f>
        <v/>
      </c>
      <c r="I1150" s="9" t="str">
        <f aca="false">IF(OR(G1150="",H1150=""),"",IF(F1150="Uscita",-1,1)*G1150*H1150)</f>
        <v/>
      </c>
      <c r="J1150" s="13"/>
      <c r="K1150" s="13"/>
    </row>
    <row r="1151" customFormat="false" ht="15" hidden="false" customHeight="false" outlineLevel="0" collapsed="false">
      <c r="A1151" s="12"/>
      <c r="B1151" s="13"/>
      <c r="C1151" s="13"/>
      <c r="D1151" s="13"/>
      <c r="E1151" s="7" t="str">
        <f aca="false">IF(D1151="","",IFERROR(INDEX(Materiali!$B:$B,MATCH(D1151,Materiali!$A:$A,0)),"codice?"))</f>
        <v/>
      </c>
      <c r="F1151" s="13"/>
      <c r="G1151" s="13"/>
      <c r="H1151" s="9" t="str">
        <f aca="false">IF(D1151="","",IFERROR(INDEX(Materiali!$C:$C,MATCH(D1151,Materiali!$A:$A,0)),0))</f>
        <v/>
      </c>
      <c r="I1151" s="9" t="str">
        <f aca="false">IF(OR(G1151="",H1151=""),"",IF(F1151="Uscita",-1,1)*G1151*H1151)</f>
        <v/>
      </c>
      <c r="J1151" s="13"/>
      <c r="K1151" s="13"/>
    </row>
    <row r="1152" customFormat="false" ht="15" hidden="false" customHeight="false" outlineLevel="0" collapsed="false">
      <c r="A1152" s="12"/>
      <c r="B1152" s="13"/>
      <c r="C1152" s="13"/>
      <c r="D1152" s="13"/>
      <c r="E1152" s="7" t="str">
        <f aca="false">IF(D1152="","",IFERROR(INDEX(Materiali!$B:$B,MATCH(D1152,Materiali!$A:$A,0)),"codice?"))</f>
        <v/>
      </c>
      <c r="F1152" s="13"/>
      <c r="G1152" s="13"/>
      <c r="H1152" s="9" t="str">
        <f aca="false">IF(D1152="","",IFERROR(INDEX(Materiali!$C:$C,MATCH(D1152,Materiali!$A:$A,0)),0))</f>
        <v/>
      </c>
      <c r="I1152" s="9" t="str">
        <f aca="false">IF(OR(G1152="",H1152=""),"",IF(F1152="Uscita",-1,1)*G1152*H1152)</f>
        <v/>
      </c>
      <c r="J1152" s="13"/>
      <c r="K1152" s="13"/>
    </row>
    <row r="1153" customFormat="false" ht="15" hidden="false" customHeight="false" outlineLevel="0" collapsed="false">
      <c r="A1153" s="12"/>
      <c r="B1153" s="13"/>
      <c r="C1153" s="13"/>
      <c r="D1153" s="13"/>
      <c r="E1153" s="7" t="str">
        <f aca="false">IF(D1153="","",IFERROR(INDEX(Materiali!$B:$B,MATCH(D1153,Materiali!$A:$A,0)),"codice?"))</f>
        <v/>
      </c>
      <c r="F1153" s="13"/>
      <c r="G1153" s="13"/>
      <c r="H1153" s="9" t="str">
        <f aca="false">IF(D1153="","",IFERROR(INDEX(Materiali!$C:$C,MATCH(D1153,Materiali!$A:$A,0)),0))</f>
        <v/>
      </c>
      <c r="I1153" s="9" t="str">
        <f aca="false">IF(OR(G1153="",H1153=""),"",IF(F1153="Uscita",-1,1)*G1153*H1153)</f>
        <v/>
      </c>
      <c r="J1153" s="13"/>
      <c r="K1153" s="13"/>
    </row>
    <row r="1154" customFormat="false" ht="15" hidden="false" customHeight="false" outlineLevel="0" collapsed="false">
      <c r="A1154" s="12"/>
      <c r="B1154" s="13"/>
      <c r="C1154" s="13"/>
      <c r="D1154" s="13"/>
      <c r="E1154" s="7" t="str">
        <f aca="false">IF(D1154="","",IFERROR(INDEX(Materiali!$B:$B,MATCH(D1154,Materiali!$A:$A,0)),"codice?"))</f>
        <v/>
      </c>
      <c r="F1154" s="13"/>
      <c r="G1154" s="13"/>
      <c r="H1154" s="9" t="str">
        <f aca="false">IF(D1154="","",IFERROR(INDEX(Materiali!$C:$C,MATCH(D1154,Materiali!$A:$A,0)),0))</f>
        <v/>
      </c>
      <c r="I1154" s="9" t="str">
        <f aca="false">IF(OR(G1154="",H1154=""),"",IF(F1154="Uscita",-1,1)*G1154*H1154)</f>
        <v/>
      </c>
      <c r="J1154" s="13"/>
      <c r="K1154" s="13"/>
    </row>
    <row r="1155" customFormat="false" ht="15" hidden="false" customHeight="false" outlineLevel="0" collapsed="false">
      <c r="A1155" s="12"/>
      <c r="B1155" s="13"/>
      <c r="C1155" s="13"/>
      <c r="D1155" s="13"/>
      <c r="E1155" s="7" t="str">
        <f aca="false">IF(D1155="","",IFERROR(INDEX(Materiali!$B:$B,MATCH(D1155,Materiali!$A:$A,0)),"codice?"))</f>
        <v/>
      </c>
      <c r="F1155" s="13"/>
      <c r="G1155" s="13"/>
      <c r="H1155" s="9" t="str">
        <f aca="false">IF(D1155="","",IFERROR(INDEX(Materiali!$C:$C,MATCH(D1155,Materiali!$A:$A,0)),0))</f>
        <v/>
      </c>
      <c r="I1155" s="9" t="str">
        <f aca="false">IF(OR(G1155="",H1155=""),"",IF(F1155="Uscita",-1,1)*G1155*H1155)</f>
        <v/>
      </c>
      <c r="J1155" s="13"/>
      <c r="K1155" s="13"/>
    </row>
    <row r="1156" customFormat="false" ht="15" hidden="false" customHeight="false" outlineLevel="0" collapsed="false">
      <c r="A1156" s="12"/>
      <c r="B1156" s="13"/>
      <c r="C1156" s="13"/>
      <c r="D1156" s="13"/>
      <c r="E1156" s="7" t="str">
        <f aca="false">IF(D1156="","",IFERROR(INDEX(Materiali!$B:$B,MATCH(D1156,Materiali!$A:$A,0)),"codice?"))</f>
        <v/>
      </c>
      <c r="F1156" s="13"/>
      <c r="G1156" s="13"/>
      <c r="H1156" s="9" t="str">
        <f aca="false">IF(D1156="","",IFERROR(INDEX(Materiali!$C:$C,MATCH(D1156,Materiali!$A:$A,0)),0))</f>
        <v/>
      </c>
      <c r="I1156" s="9" t="str">
        <f aca="false">IF(OR(G1156="",H1156=""),"",IF(F1156="Uscita",-1,1)*G1156*H1156)</f>
        <v/>
      </c>
      <c r="J1156" s="13"/>
      <c r="K1156" s="13"/>
    </row>
    <row r="1157" customFormat="false" ht="15" hidden="false" customHeight="false" outlineLevel="0" collapsed="false">
      <c r="A1157" s="12"/>
      <c r="B1157" s="13"/>
      <c r="C1157" s="13"/>
      <c r="D1157" s="13"/>
      <c r="E1157" s="7" t="str">
        <f aca="false">IF(D1157="","",IFERROR(INDEX(Materiali!$B:$B,MATCH(D1157,Materiali!$A:$A,0)),"codice?"))</f>
        <v/>
      </c>
      <c r="F1157" s="13"/>
      <c r="G1157" s="13"/>
      <c r="H1157" s="9" t="str">
        <f aca="false">IF(D1157="","",IFERROR(INDEX(Materiali!$C:$C,MATCH(D1157,Materiali!$A:$A,0)),0))</f>
        <v/>
      </c>
      <c r="I1157" s="9" t="str">
        <f aca="false">IF(OR(G1157="",H1157=""),"",IF(F1157="Uscita",-1,1)*G1157*H1157)</f>
        <v/>
      </c>
      <c r="J1157" s="13"/>
      <c r="K1157" s="13"/>
    </row>
    <row r="1158" customFormat="false" ht="15" hidden="false" customHeight="false" outlineLevel="0" collapsed="false">
      <c r="A1158" s="12"/>
      <c r="B1158" s="13"/>
      <c r="C1158" s="13"/>
      <c r="D1158" s="13"/>
      <c r="E1158" s="7" t="str">
        <f aca="false">IF(D1158="","",IFERROR(INDEX(Materiali!$B:$B,MATCH(D1158,Materiali!$A:$A,0)),"codice?"))</f>
        <v/>
      </c>
      <c r="F1158" s="13"/>
      <c r="G1158" s="13"/>
      <c r="H1158" s="9" t="str">
        <f aca="false">IF(D1158="","",IFERROR(INDEX(Materiali!$C:$C,MATCH(D1158,Materiali!$A:$A,0)),0))</f>
        <v/>
      </c>
      <c r="I1158" s="9" t="str">
        <f aca="false">IF(OR(G1158="",H1158=""),"",IF(F1158="Uscita",-1,1)*G1158*H1158)</f>
        <v/>
      </c>
      <c r="J1158" s="13"/>
      <c r="K1158" s="13"/>
    </row>
    <row r="1159" customFormat="false" ht="15" hidden="false" customHeight="false" outlineLevel="0" collapsed="false">
      <c r="A1159" s="12"/>
      <c r="B1159" s="13"/>
      <c r="C1159" s="13"/>
      <c r="D1159" s="13"/>
      <c r="E1159" s="7" t="str">
        <f aca="false">IF(D1159="","",IFERROR(INDEX(Materiali!$B:$B,MATCH(D1159,Materiali!$A:$A,0)),"codice?"))</f>
        <v/>
      </c>
      <c r="F1159" s="13"/>
      <c r="G1159" s="13"/>
      <c r="H1159" s="9" t="str">
        <f aca="false">IF(D1159="","",IFERROR(INDEX(Materiali!$C:$C,MATCH(D1159,Materiali!$A:$A,0)),0))</f>
        <v/>
      </c>
      <c r="I1159" s="9" t="str">
        <f aca="false">IF(OR(G1159="",H1159=""),"",IF(F1159="Uscita",-1,1)*G1159*H1159)</f>
        <v/>
      </c>
      <c r="J1159" s="13"/>
      <c r="K1159" s="13"/>
    </row>
    <row r="1160" customFormat="false" ht="15" hidden="false" customHeight="false" outlineLevel="0" collapsed="false">
      <c r="A1160" s="12"/>
      <c r="B1160" s="13"/>
      <c r="C1160" s="13"/>
      <c r="D1160" s="13"/>
      <c r="E1160" s="7" t="str">
        <f aca="false">IF(D1160="","",IFERROR(INDEX(Materiali!$B:$B,MATCH(D1160,Materiali!$A:$A,0)),"codice?"))</f>
        <v/>
      </c>
      <c r="F1160" s="13"/>
      <c r="G1160" s="13"/>
      <c r="H1160" s="9" t="str">
        <f aca="false">IF(D1160="","",IFERROR(INDEX(Materiali!$C:$C,MATCH(D1160,Materiali!$A:$A,0)),0))</f>
        <v/>
      </c>
      <c r="I1160" s="9" t="str">
        <f aca="false">IF(OR(G1160="",H1160=""),"",IF(F1160="Uscita",-1,1)*G1160*H1160)</f>
        <v/>
      </c>
      <c r="J1160" s="13"/>
      <c r="K1160" s="13"/>
    </row>
    <row r="1161" customFormat="false" ht="15" hidden="false" customHeight="false" outlineLevel="0" collapsed="false">
      <c r="A1161" s="12"/>
      <c r="B1161" s="13"/>
      <c r="C1161" s="13"/>
      <c r="D1161" s="13"/>
      <c r="E1161" s="7" t="str">
        <f aca="false">IF(D1161="","",IFERROR(INDEX(Materiali!$B:$B,MATCH(D1161,Materiali!$A:$A,0)),"codice?"))</f>
        <v/>
      </c>
      <c r="F1161" s="13"/>
      <c r="G1161" s="13"/>
      <c r="H1161" s="9" t="str">
        <f aca="false">IF(D1161="","",IFERROR(INDEX(Materiali!$C:$C,MATCH(D1161,Materiali!$A:$A,0)),0))</f>
        <v/>
      </c>
      <c r="I1161" s="9" t="str">
        <f aca="false">IF(OR(G1161="",H1161=""),"",IF(F1161="Uscita",-1,1)*G1161*H1161)</f>
        <v/>
      </c>
      <c r="J1161" s="13"/>
      <c r="K1161" s="13"/>
    </row>
    <row r="1162" customFormat="false" ht="15" hidden="false" customHeight="false" outlineLevel="0" collapsed="false">
      <c r="A1162" s="12"/>
      <c r="B1162" s="13"/>
      <c r="C1162" s="13"/>
      <c r="D1162" s="13"/>
      <c r="E1162" s="7" t="str">
        <f aca="false">IF(D1162="","",IFERROR(INDEX(Materiali!$B:$B,MATCH(D1162,Materiali!$A:$A,0)),"codice?"))</f>
        <v/>
      </c>
      <c r="F1162" s="13"/>
      <c r="G1162" s="13"/>
      <c r="H1162" s="9" t="str">
        <f aca="false">IF(D1162="","",IFERROR(INDEX(Materiali!$C:$C,MATCH(D1162,Materiali!$A:$A,0)),0))</f>
        <v/>
      </c>
      <c r="I1162" s="9" t="str">
        <f aca="false">IF(OR(G1162="",H1162=""),"",IF(F1162="Uscita",-1,1)*G1162*H1162)</f>
        <v/>
      </c>
      <c r="J1162" s="13"/>
      <c r="K1162" s="13"/>
    </row>
    <row r="1163" customFormat="false" ht="15" hidden="false" customHeight="false" outlineLevel="0" collapsed="false">
      <c r="A1163" s="12"/>
      <c r="B1163" s="13"/>
      <c r="C1163" s="13"/>
      <c r="D1163" s="13"/>
      <c r="E1163" s="7" t="str">
        <f aca="false">IF(D1163="","",IFERROR(INDEX(Materiali!$B:$B,MATCH(D1163,Materiali!$A:$A,0)),"codice?"))</f>
        <v/>
      </c>
      <c r="F1163" s="13"/>
      <c r="G1163" s="13"/>
      <c r="H1163" s="9" t="str">
        <f aca="false">IF(D1163="","",IFERROR(INDEX(Materiali!$C:$C,MATCH(D1163,Materiali!$A:$A,0)),0))</f>
        <v/>
      </c>
      <c r="I1163" s="9" t="str">
        <f aca="false">IF(OR(G1163="",H1163=""),"",IF(F1163="Uscita",-1,1)*G1163*H1163)</f>
        <v/>
      </c>
      <c r="J1163" s="13"/>
      <c r="K1163" s="13"/>
    </row>
    <row r="1164" customFormat="false" ht="15" hidden="false" customHeight="false" outlineLevel="0" collapsed="false">
      <c r="A1164" s="12"/>
      <c r="B1164" s="13"/>
      <c r="C1164" s="13"/>
      <c r="D1164" s="13"/>
      <c r="E1164" s="7" t="str">
        <f aca="false">IF(D1164="","",IFERROR(INDEX(Materiali!$B:$B,MATCH(D1164,Materiali!$A:$A,0)),"codice?"))</f>
        <v/>
      </c>
      <c r="F1164" s="13"/>
      <c r="G1164" s="13"/>
      <c r="H1164" s="9" t="str">
        <f aca="false">IF(D1164="","",IFERROR(INDEX(Materiali!$C:$C,MATCH(D1164,Materiali!$A:$A,0)),0))</f>
        <v/>
      </c>
      <c r="I1164" s="9" t="str">
        <f aca="false">IF(OR(G1164="",H1164=""),"",IF(F1164="Uscita",-1,1)*G1164*H1164)</f>
        <v/>
      </c>
      <c r="J1164" s="13"/>
      <c r="K1164" s="13"/>
    </row>
    <row r="1165" customFormat="false" ht="15" hidden="false" customHeight="false" outlineLevel="0" collapsed="false">
      <c r="A1165" s="12"/>
      <c r="B1165" s="13"/>
      <c r="C1165" s="13"/>
      <c r="D1165" s="13"/>
      <c r="E1165" s="7" t="str">
        <f aca="false">IF(D1165="","",IFERROR(INDEX(Materiali!$B:$B,MATCH(D1165,Materiali!$A:$A,0)),"codice?"))</f>
        <v/>
      </c>
      <c r="F1165" s="13"/>
      <c r="G1165" s="13"/>
      <c r="H1165" s="9" t="str">
        <f aca="false">IF(D1165="","",IFERROR(INDEX(Materiali!$C:$C,MATCH(D1165,Materiali!$A:$A,0)),0))</f>
        <v/>
      </c>
      <c r="I1165" s="9" t="str">
        <f aca="false">IF(OR(G1165="",H1165=""),"",IF(F1165="Uscita",-1,1)*G1165*H1165)</f>
        <v/>
      </c>
      <c r="J1165" s="13"/>
      <c r="K1165" s="13"/>
    </row>
    <row r="1166" customFormat="false" ht="15" hidden="false" customHeight="false" outlineLevel="0" collapsed="false">
      <c r="A1166" s="12"/>
      <c r="B1166" s="13"/>
      <c r="C1166" s="13"/>
      <c r="D1166" s="13"/>
      <c r="E1166" s="7" t="str">
        <f aca="false">IF(D1166="","",IFERROR(INDEX(Materiali!$B:$B,MATCH(D1166,Materiali!$A:$A,0)),"codice?"))</f>
        <v/>
      </c>
      <c r="F1166" s="13"/>
      <c r="G1166" s="13"/>
      <c r="H1166" s="9" t="str">
        <f aca="false">IF(D1166="","",IFERROR(INDEX(Materiali!$C:$C,MATCH(D1166,Materiali!$A:$A,0)),0))</f>
        <v/>
      </c>
      <c r="I1166" s="9" t="str">
        <f aca="false">IF(OR(G1166="",H1166=""),"",IF(F1166="Uscita",-1,1)*G1166*H1166)</f>
        <v/>
      </c>
      <c r="J1166" s="13"/>
      <c r="K1166" s="13"/>
    </row>
    <row r="1167" customFormat="false" ht="15" hidden="false" customHeight="false" outlineLevel="0" collapsed="false">
      <c r="A1167" s="12"/>
      <c r="B1167" s="13"/>
      <c r="C1167" s="13"/>
      <c r="D1167" s="13"/>
      <c r="E1167" s="7" t="str">
        <f aca="false">IF(D1167="","",IFERROR(INDEX(Materiali!$B:$B,MATCH(D1167,Materiali!$A:$A,0)),"codice?"))</f>
        <v/>
      </c>
      <c r="F1167" s="13"/>
      <c r="G1167" s="13"/>
      <c r="H1167" s="9" t="str">
        <f aca="false">IF(D1167="","",IFERROR(INDEX(Materiali!$C:$C,MATCH(D1167,Materiali!$A:$A,0)),0))</f>
        <v/>
      </c>
      <c r="I1167" s="9" t="str">
        <f aca="false">IF(OR(G1167="",H1167=""),"",IF(F1167="Uscita",-1,1)*G1167*H1167)</f>
        <v/>
      </c>
      <c r="J1167" s="13"/>
      <c r="K1167" s="13"/>
    </row>
    <row r="1168" customFormat="false" ht="15" hidden="false" customHeight="false" outlineLevel="0" collapsed="false">
      <c r="A1168" s="12"/>
      <c r="B1168" s="13"/>
      <c r="C1168" s="13"/>
      <c r="D1168" s="13"/>
      <c r="E1168" s="7" t="str">
        <f aca="false">IF(D1168="","",IFERROR(INDEX(Materiali!$B:$B,MATCH(D1168,Materiali!$A:$A,0)),"codice?"))</f>
        <v/>
      </c>
      <c r="F1168" s="13"/>
      <c r="G1168" s="13"/>
      <c r="H1168" s="9" t="str">
        <f aca="false">IF(D1168="","",IFERROR(INDEX(Materiali!$C:$C,MATCH(D1168,Materiali!$A:$A,0)),0))</f>
        <v/>
      </c>
      <c r="I1168" s="9" t="str">
        <f aca="false">IF(OR(G1168="",H1168=""),"",IF(F1168="Uscita",-1,1)*G1168*H1168)</f>
        <v/>
      </c>
      <c r="J1168" s="13"/>
      <c r="K1168" s="13"/>
    </row>
    <row r="1169" customFormat="false" ht="15" hidden="false" customHeight="false" outlineLevel="0" collapsed="false">
      <c r="A1169" s="12"/>
      <c r="B1169" s="13"/>
      <c r="C1169" s="13"/>
      <c r="D1169" s="13"/>
      <c r="E1169" s="7" t="str">
        <f aca="false">IF(D1169="","",IFERROR(INDEX(Materiali!$B:$B,MATCH(D1169,Materiali!$A:$A,0)),"codice?"))</f>
        <v/>
      </c>
      <c r="F1169" s="13"/>
      <c r="G1169" s="13"/>
      <c r="H1169" s="9" t="str">
        <f aca="false">IF(D1169="","",IFERROR(INDEX(Materiali!$C:$C,MATCH(D1169,Materiali!$A:$A,0)),0))</f>
        <v/>
      </c>
      <c r="I1169" s="9" t="str">
        <f aca="false">IF(OR(G1169="",H1169=""),"",IF(F1169="Uscita",-1,1)*G1169*H1169)</f>
        <v/>
      </c>
      <c r="J1169" s="13"/>
      <c r="K1169" s="13"/>
    </row>
    <row r="1170" customFormat="false" ht="15" hidden="false" customHeight="false" outlineLevel="0" collapsed="false">
      <c r="A1170" s="12"/>
      <c r="B1170" s="13"/>
      <c r="C1170" s="13"/>
      <c r="D1170" s="13"/>
      <c r="E1170" s="7" t="str">
        <f aca="false">IF(D1170="","",IFERROR(INDEX(Materiali!$B:$B,MATCH(D1170,Materiali!$A:$A,0)),"codice?"))</f>
        <v/>
      </c>
      <c r="F1170" s="13"/>
      <c r="G1170" s="13"/>
      <c r="H1170" s="9" t="str">
        <f aca="false">IF(D1170="","",IFERROR(INDEX(Materiali!$C:$C,MATCH(D1170,Materiali!$A:$A,0)),0))</f>
        <v/>
      </c>
      <c r="I1170" s="9" t="str">
        <f aca="false">IF(OR(G1170="",H1170=""),"",IF(F1170="Uscita",-1,1)*G1170*H1170)</f>
        <v/>
      </c>
      <c r="J1170" s="13"/>
      <c r="K1170" s="13"/>
    </row>
    <row r="1171" customFormat="false" ht="15" hidden="false" customHeight="false" outlineLevel="0" collapsed="false">
      <c r="A1171" s="12"/>
      <c r="B1171" s="13"/>
      <c r="C1171" s="13"/>
      <c r="D1171" s="13"/>
      <c r="E1171" s="7" t="str">
        <f aca="false">IF(D1171="","",IFERROR(INDEX(Materiali!$B:$B,MATCH(D1171,Materiali!$A:$A,0)),"codice?"))</f>
        <v/>
      </c>
      <c r="F1171" s="13"/>
      <c r="G1171" s="13"/>
      <c r="H1171" s="9" t="str">
        <f aca="false">IF(D1171="","",IFERROR(INDEX(Materiali!$C:$C,MATCH(D1171,Materiali!$A:$A,0)),0))</f>
        <v/>
      </c>
      <c r="I1171" s="9" t="str">
        <f aca="false">IF(OR(G1171="",H1171=""),"",IF(F1171="Uscita",-1,1)*G1171*H1171)</f>
        <v/>
      </c>
      <c r="J1171" s="13"/>
      <c r="K1171" s="13"/>
    </row>
    <row r="1172" customFormat="false" ht="15" hidden="false" customHeight="false" outlineLevel="0" collapsed="false">
      <c r="A1172" s="12"/>
      <c r="B1172" s="13"/>
      <c r="C1172" s="13"/>
      <c r="D1172" s="13"/>
      <c r="E1172" s="7" t="str">
        <f aca="false">IF(D1172="","",IFERROR(INDEX(Materiali!$B:$B,MATCH(D1172,Materiali!$A:$A,0)),"codice?"))</f>
        <v/>
      </c>
      <c r="F1172" s="13"/>
      <c r="G1172" s="13"/>
      <c r="H1172" s="9" t="str">
        <f aca="false">IF(D1172="","",IFERROR(INDEX(Materiali!$C:$C,MATCH(D1172,Materiali!$A:$A,0)),0))</f>
        <v/>
      </c>
      <c r="I1172" s="9" t="str">
        <f aca="false">IF(OR(G1172="",H1172=""),"",IF(F1172="Uscita",-1,1)*G1172*H1172)</f>
        <v/>
      </c>
      <c r="J1172" s="13"/>
      <c r="K1172" s="13"/>
    </row>
    <row r="1173" customFormat="false" ht="15" hidden="false" customHeight="false" outlineLevel="0" collapsed="false">
      <c r="A1173" s="12"/>
      <c r="B1173" s="13"/>
      <c r="C1173" s="13"/>
      <c r="D1173" s="13"/>
      <c r="E1173" s="7" t="str">
        <f aca="false">IF(D1173="","",IFERROR(INDEX(Materiali!$B:$B,MATCH(D1173,Materiali!$A:$A,0)),"codice?"))</f>
        <v/>
      </c>
      <c r="F1173" s="13"/>
      <c r="G1173" s="13"/>
      <c r="H1173" s="9" t="str">
        <f aca="false">IF(D1173="","",IFERROR(INDEX(Materiali!$C:$C,MATCH(D1173,Materiali!$A:$A,0)),0))</f>
        <v/>
      </c>
      <c r="I1173" s="9" t="str">
        <f aca="false">IF(OR(G1173="",H1173=""),"",IF(F1173="Uscita",-1,1)*G1173*H1173)</f>
        <v/>
      </c>
      <c r="J1173" s="13"/>
      <c r="K1173" s="13"/>
    </row>
    <row r="1174" customFormat="false" ht="15" hidden="false" customHeight="false" outlineLevel="0" collapsed="false">
      <c r="A1174" s="12"/>
      <c r="B1174" s="13"/>
      <c r="C1174" s="13"/>
      <c r="D1174" s="13"/>
      <c r="E1174" s="7" t="str">
        <f aca="false">IF(D1174="","",IFERROR(INDEX(Materiali!$B:$B,MATCH(D1174,Materiali!$A:$A,0)),"codice?"))</f>
        <v/>
      </c>
      <c r="F1174" s="13"/>
      <c r="G1174" s="13"/>
      <c r="H1174" s="9" t="str">
        <f aca="false">IF(D1174="","",IFERROR(INDEX(Materiali!$C:$C,MATCH(D1174,Materiali!$A:$A,0)),0))</f>
        <v/>
      </c>
      <c r="I1174" s="9" t="str">
        <f aca="false">IF(OR(G1174="",H1174=""),"",IF(F1174="Uscita",-1,1)*G1174*H1174)</f>
        <v/>
      </c>
      <c r="J1174" s="13"/>
      <c r="K1174" s="13"/>
    </row>
    <row r="1175" customFormat="false" ht="15" hidden="false" customHeight="false" outlineLevel="0" collapsed="false">
      <c r="A1175" s="12"/>
      <c r="B1175" s="13"/>
      <c r="C1175" s="13"/>
      <c r="D1175" s="13"/>
      <c r="E1175" s="7" t="str">
        <f aca="false">IF(D1175="","",IFERROR(INDEX(Materiali!$B:$B,MATCH(D1175,Materiali!$A:$A,0)),"codice?"))</f>
        <v/>
      </c>
      <c r="F1175" s="13"/>
      <c r="G1175" s="13"/>
      <c r="H1175" s="9" t="str">
        <f aca="false">IF(D1175="","",IFERROR(INDEX(Materiali!$C:$C,MATCH(D1175,Materiali!$A:$A,0)),0))</f>
        <v/>
      </c>
      <c r="I1175" s="9" t="str">
        <f aca="false">IF(OR(G1175="",H1175=""),"",IF(F1175="Uscita",-1,1)*G1175*H1175)</f>
        <v/>
      </c>
      <c r="J1175" s="13"/>
      <c r="K1175" s="13"/>
    </row>
    <row r="1176" customFormat="false" ht="15" hidden="false" customHeight="false" outlineLevel="0" collapsed="false">
      <c r="A1176" s="12"/>
      <c r="B1176" s="13"/>
      <c r="C1176" s="13"/>
      <c r="D1176" s="13"/>
      <c r="E1176" s="7" t="str">
        <f aca="false">IF(D1176="","",IFERROR(INDEX(Materiali!$B:$B,MATCH(D1176,Materiali!$A:$A,0)),"codice?"))</f>
        <v/>
      </c>
      <c r="F1176" s="13"/>
      <c r="G1176" s="13"/>
      <c r="H1176" s="9" t="str">
        <f aca="false">IF(D1176="","",IFERROR(INDEX(Materiali!$C:$C,MATCH(D1176,Materiali!$A:$A,0)),0))</f>
        <v/>
      </c>
      <c r="I1176" s="9" t="str">
        <f aca="false">IF(OR(G1176="",H1176=""),"",IF(F1176="Uscita",-1,1)*G1176*H1176)</f>
        <v/>
      </c>
      <c r="J1176" s="13"/>
      <c r="K1176" s="13"/>
    </row>
    <row r="1177" customFormat="false" ht="15" hidden="false" customHeight="false" outlineLevel="0" collapsed="false">
      <c r="A1177" s="12"/>
      <c r="B1177" s="13"/>
      <c r="C1177" s="13"/>
      <c r="D1177" s="13"/>
      <c r="E1177" s="7" t="str">
        <f aca="false">IF(D1177="","",IFERROR(INDEX(Materiali!$B:$B,MATCH(D1177,Materiali!$A:$A,0)),"codice?"))</f>
        <v/>
      </c>
      <c r="F1177" s="13"/>
      <c r="G1177" s="13"/>
      <c r="H1177" s="9" t="str">
        <f aca="false">IF(D1177="","",IFERROR(INDEX(Materiali!$C:$C,MATCH(D1177,Materiali!$A:$A,0)),0))</f>
        <v/>
      </c>
      <c r="I1177" s="9" t="str">
        <f aca="false">IF(OR(G1177="",H1177=""),"",IF(F1177="Uscita",-1,1)*G1177*H1177)</f>
        <v/>
      </c>
      <c r="J1177" s="13"/>
      <c r="K1177" s="13"/>
    </row>
    <row r="1178" customFormat="false" ht="15" hidden="false" customHeight="false" outlineLevel="0" collapsed="false">
      <c r="A1178" s="12"/>
      <c r="B1178" s="13"/>
      <c r="C1178" s="13"/>
      <c r="D1178" s="13"/>
      <c r="E1178" s="7" t="str">
        <f aca="false">IF(D1178="","",IFERROR(INDEX(Materiali!$B:$B,MATCH(D1178,Materiali!$A:$A,0)),"codice?"))</f>
        <v/>
      </c>
      <c r="F1178" s="13"/>
      <c r="G1178" s="13"/>
      <c r="H1178" s="9" t="str">
        <f aca="false">IF(D1178="","",IFERROR(INDEX(Materiali!$C:$C,MATCH(D1178,Materiali!$A:$A,0)),0))</f>
        <v/>
      </c>
      <c r="I1178" s="9" t="str">
        <f aca="false">IF(OR(G1178="",H1178=""),"",IF(F1178="Uscita",-1,1)*G1178*H1178)</f>
        <v/>
      </c>
      <c r="J1178" s="13"/>
      <c r="K1178" s="13"/>
    </row>
    <row r="1179" customFormat="false" ht="15" hidden="false" customHeight="false" outlineLevel="0" collapsed="false">
      <c r="A1179" s="12"/>
      <c r="B1179" s="13"/>
      <c r="C1179" s="13"/>
      <c r="D1179" s="13"/>
      <c r="E1179" s="7" t="str">
        <f aca="false">IF(D1179="","",IFERROR(INDEX(Materiali!$B:$B,MATCH(D1179,Materiali!$A:$A,0)),"codice?"))</f>
        <v/>
      </c>
      <c r="F1179" s="13"/>
      <c r="G1179" s="13"/>
      <c r="H1179" s="9" t="str">
        <f aca="false">IF(D1179="","",IFERROR(INDEX(Materiali!$C:$C,MATCH(D1179,Materiali!$A:$A,0)),0))</f>
        <v/>
      </c>
      <c r="I1179" s="9" t="str">
        <f aca="false">IF(OR(G1179="",H1179=""),"",IF(F1179="Uscita",-1,1)*G1179*H1179)</f>
        <v/>
      </c>
      <c r="J1179" s="13"/>
      <c r="K1179" s="13"/>
    </row>
    <row r="1180" customFormat="false" ht="15" hidden="false" customHeight="false" outlineLevel="0" collapsed="false">
      <c r="A1180" s="12"/>
      <c r="B1180" s="13"/>
      <c r="C1180" s="13"/>
      <c r="D1180" s="13"/>
      <c r="E1180" s="7" t="str">
        <f aca="false">IF(D1180="","",IFERROR(INDEX(Materiali!$B:$B,MATCH(D1180,Materiali!$A:$A,0)),"codice?"))</f>
        <v/>
      </c>
      <c r="F1180" s="13"/>
      <c r="G1180" s="13"/>
      <c r="H1180" s="9" t="str">
        <f aca="false">IF(D1180="","",IFERROR(INDEX(Materiali!$C:$C,MATCH(D1180,Materiali!$A:$A,0)),0))</f>
        <v/>
      </c>
      <c r="I1180" s="9" t="str">
        <f aca="false">IF(OR(G1180="",H1180=""),"",IF(F1180="Uscita",-1,1)*G1180*H1180)</f>
        <v/>
      </c>
      <c r="J1180" s="13"/>
      <c r="K1180" s="13"/>
    </row>
    <row r="1181" customFormat="false" ht="15" hidden="false" customHeight="false" outlineLevel="0" collapsed="false">
      <c r="A1181" s="12"/>
      <c r="B1181" s="13"/>
      <c r="C1181" s="13"/>
      <c r="D1181" s="13"/>
      <c r="E1181" s="7" t="str">
        <f aca="false">IF(D1181="","",IFERROR(INDEX(Materiali!$B:$B,MATCH(D1181,Materiali!$A:$A,0)),"codice?"))</f>
        <v/>
      </c>
      <c r="F1181" s="13"/>
      <c r="G1181" s="13"/>
      <c r="H1181" s="9" t="str">
        <f aca="false">IF(D1181="","",IFERROR(INDEX(Materiali!$C:$C,MATCH(D1181,Materiali!$A:$A,0)),0))</f>
        <v/>
      </c>
      <c r="I1181" s="9" t="str">
        <f aca="false">IF(OR(G1181="",H1181=""),"",IF(F1181="Uscita",-1,1)*G1181*H1181)</f>
        <v/>
      </c>
      <c r="J1181" s="13"/>
      <c r="K1181" s="13"/>
    </row>
    <row r="1182" customFormat="false" ht="15" hidden="false" customHeight="false" outlineLevel="0" collapsed="false">
      <c r="A1182" s="12"/>
      <c r="B1182" s="13"/>
      <c r="C1182" s="13"/>
      <c r="D1182" s="13"/>
      <c r="E1182" s="7" t="str">
        <f aca="false">IF(D1182="","",IFERROR(INDEX(Materiali!$B:$B,MATCH(D1182,Materiali!$A:$A,0)),"codice?"))</f>
        <v/>
      </c>
      <c r="F1182" s="13"/>
      <c r="G1182" s="13"/>
      <c r="H1182" s="9" t="str">
        <f aca="false">IF(D1182="","",IFERROR(INDEX(Materiali!$C:$C,MATCH(D1182,Materiali!$A:$A,0)),0))</f>
        <v/>
      </c>
      <c r="I1182" s="9" t="str">
        <f aca="false">IF(OR(G1182="",H1182=""),"",IF(F1182="Uscita",-1,1)*G1182*H1182)</f>
        <v/>
      </c>
      <c r="J1182" s="13"/>
      <c r="K1182" s="13"/>
    </row>
    <row r="1183" customFormat="false" ht="15" hidden="false" customHeight="false" outlineLevel="0" collapsed="false">
      <c r="A1183" s="12"/>
      <c r="B1183" s="13"/>
      <c r="C1183" s="13"/>
      <c r="D1183" s="13"/>
      <c r="E1183" s="7" t="str">
        <f aca="false">IF(D1183="","",IFERROR(INDEX(Materiali!$B:$B,MATCH(D1183,Materiali!$A:$A,0)),"codice?"))</f>
        <v/>
      </c>
      <c r="F1183" s="13"/>
      <c r="G1183" s="13"/>
      <c r="H1183" s="9" t="str">
        <f aca="false">IF(D1183="","",IFERROR(INDEX(Materiali!$C:$C,MATCH(D1183,Materiali!$A:$A,0)),0))</f>
        <v/>
      </c>
      <c r="I1183" s="9" t="str">
        <f aca="false">IF(OR(G1183="",H1183=""),"",IF(F1183="Uscita",-1,1)*G1183*H1183)</f>
        <v/>
      </c>
      <c r="J1183" s="13"/>
      <c r="K1183" s="13"/>
    </row>
    <row r="1184" customFormat="false" ht="15" hidden="false" customHeight="false" outlineLevel="0" collapsed="false">
      <c r="A1184" s="12"/>
      <c r="B1184" s="13"/>
      <c r="C1184" s="13"/>
      <c r="D1184" s="13"/>
      <c r="E1184" s="7" t="str">
        <f aca="false">IF(D1184="","",IFERROR(INDEX(Materiali!$B:$B,MATCH(D1184,Materiali!$A:$A,0)),"codice?"))</f>
        <v/>
      </c>
      <c r="F1184" s="13"/>
      <c r="G1184" s="13"/>
      <c r="H1184" s="9" t="str">
        <f aca="false">IF(D1184="","",IFERROR(INDEX(Materiali!$C:$C,MATCH(D1184,Materiali!$A:$A,0)),0))</f>
        <v/>
      </c>
      <c r="I1184" s="9" t="str">
        <f aca="false">IF(OR(G1184="",H1184=""),"",IF(F1184="Uscita",-1,1)*G1184*H1184)</f>
        <v/>
      </c>
      <c r="J1184" s="13"/>
      <c r="K1184" s="13"/>
    </row>
    <row r="1185" customFormat="false" ht="15" hidden="false" customHeight="false" outlineLevel="0" collapsed="false">
      <c r="A1185" s="12"/>
      <c r="B1185" s="13"/>
      <c r="C1185" s="13"/>
      <c r="D1185" s="13"/>
      <c r="E1185" s="7" t="str">
        <f aca="false">IF(D1185="","",IFERROR(INDEX(Materiali!$B:$B,MATCH(D1185,Materiali!$A:$A,0)),"codice?"))</f>
        <v/>
      </c>
      <c r="F1185" s="13"/>
      <c r="G1185" s="13"/>
      <c r="H1185" s="9" t="str">
        <f aca="false">IF(D1185="","",IFERROR(INDEX(Materiali!$C:$C,MATCH(D1185,Materiali!$A:$A,0)),0))</f>
        <v/>
      </c>
      <c r="I1185" s="9" t="str">
        <f aca="false">IF(OR(G1185="",H1185=""),"",IF(F1185="Uscita",-1,1)*G1185*H1185)</f>
        <v/>
      </c>
      <c r="J1185" s="13"/>
      <c r="K1185" s="13"/>
    </row>
    <row r="1186" customFormat="false" ht="15" hidden="false" customHeight="false" outlineLevel="0" collapsed="false">
      <c r="A1186" s="12"/>
      <c r="B1186" s="13"/>
      <c r="C1186" s="13"/>
      <c r="D1186" s="13"/>
      <c r="E1186" s="7" t="str">
        <f aca="false">IF(D1186="","",IFERROR(INDEX(Materiali!$B:$B,MATCH(D1186,Materiali!$A:$A,0)),"codice?"))</f>
        <v/>
      </c>
      <c r="F1186" s="13"/>
      <c r="G1186" s="13"/>
      <c r="H1186" s="9" t="str">
        <f aca="false">IF(D1186="","",IFERROR(INDEX(Materiali!$C:$C,MATCH(D1186,Materiali!$A:$A,0)),0))</f>
        <v/>
      </c>
      <c r="I1186" s="9" t="str">
        <f aca="false">IF(OR(G1186="",H1186=""),"",IF(F1186="Uscita",-1,1)*G1186*H1186)</f>
        <v/>
      </c>
      <c r="J1186" s="13"/>
      <c r="K1186" s="13"/>
    </row>
    <row r="1187" customFormat="false" ht="15" hidden="false" customHeight="false" outlineLevel="0" collapsed="false">
      <c r="A1187" s="12"/>
      <c r="B1187" s="13"/>
      <c r="C1187" s="13"/>
      <c r="D1187" s="13"/>
      <c r="E1187" s="7" t="str">
        <f aca="false">IF(D1187="","",IFERROR(INDEX(Materiali!$B:$B,MATCH(D1187,Materiali!$A:$A,0)),"codice?"))</f>
        <v/>
      </c>
      <c r="F1187" s="13"/>
      <c r="G1187" s="13"/>
      <c r="H1187" s="9" t="str">
        <f aca="false">IF(D1187="","",IFERROR(INDEX(Materiali!$C:$C,MATCH(D1187,Materiali!$A:$A,0)),0))</f>
        <v/>
      </c>
      <c r="I1187" s="9" t="str">
        <f aca="false">IF(OR(G1187="",H1187=""),"",IF(F1187="Uscita",-1,1)*G1187*H1187)</f>
        <v/>
      </c>
      <c r="J1187" s="13"/>
      <c r="K1187" s="13"/>
    </row>
    <row r="1188" customFormat="false" ht="15" hidden="false" customHeight="false" outlineLevel="0" collapsed="false">
      <c r="A1188" s="12"/>
      <c r="B1188" s="13"/>
      <c r="C1188" s="13"/>
      <c r="D1188" s="13"/>
      <c r="E1188" s="7" t="str">
        <f aca="false">IF(D1188="","",IFERROR(INDEX(Materiali!$B:$B,MATCH(D1188,Materiali!$A:$A,0)),"codice?"))</f>
        <v/>
      </c>
      <c r="F1188" s="13"/>
      <c r="G1188" s="13"/>
      <c r="H1188" s="9" t="str">
        <f aca="false">IF(D1188="","",IFERROR(INDEX(Materiali!$C:$C,MATCH(D1188,Materiali!$A:$A,0)),0))</f>
        <v/>
      </c>
      <c r="I1188" s="9" t="str">
        <f aca="false">IF(OR(G1188="",H1188=""),"",IF(F1188="Uscita",-1,1)*G1188*H1188)</f>
        <v/>
      </c>
      <c r="J1188" s="13"/>
      <c r="K1188" s="13"/>
    </row>
    <row r="1189" customFormat="false" ht="15" hidden="false" customHeight="false" outlineLevel="0" collapsed="false">
      <c r="A1189" s="12"/>
      <c r="B1189" s="13"/>
      <c r="C1189" s="13"/>
      <c r="D1189" s="13"/>
      <c r="E1189" s="7" t="str">
        <f aca="false">IF(D1189="","",IFERROR(INDEX(Materiali!$B:$B,MATCH(D1189,Materiali!$A:$A,0)),"codice?"))</f>
        <v/>
      </c>
      <c r="F1189" s="13"/>
      <c r="G1189" s="13"/>
      <c r="H1189" s="9" t="str">
        <f aca="false">IF(D1189="","",IFERROR(INDEX(Materiali!$C:$C,MATCH(D1189,Materiali!$A:$A,0)),0))</f>
        <v/>
      </c>
      <c r="I1189" s="9" t="str">
        <f aca="false">IF(OR(G1189="",H1189=""),"",IF(F1189="Uscita",-1,1)*G1189*H1189)</f>
        <v/>
      </c>
      <c r="J1189" s="13"/>
      <c r="K1189" s="13"/>
    </row>
    <row r="1190" customFormat="false" ht="15" hidden="false" customHeight="false" outlineLevel="0" collapsed="false">
      <c r="A1190" s="12"/>
      <c r="B1190" s="13"/>
      <c r="C1190" s="13"/>
      <c r="D1190" s="13"/>
      <c r="E1190" s="7" t="str">
        <f aca="false">IF(D1190="","",IFERROR(INDEX(Materiali!$B:$B,MATCH(D1190,Materiali!$A:$A,0)),"codice?"))</f>
        <v/>
      </c>
      <c r="F1190" s="13"/>
      <c r="G1190" s="13"/>
      <c r="H1190" s="9" t="str">
        <f aca="false">IF(D1190="","",IFERROR(INDEX(Materiali!$C:$C,MATCH(D1190,Materiali!$A:$A,0)),0))</f>
        <v/>
      </c>
      <c r="I1190" s="9" t="str">
        <f aca="false">IF(OR(G1190="",H1190=""),"",IF(F1190="Uscita",-1,1)*G1190*H1190)</f>
        <v/>
      </c>
      <c r="J1190" s="13"/>
      <c r="K1190" s="13"/>
    </row>
    <row r="1191" customFormat="false" ht="15" hidden="false" customHeight="false" outlineLevel="0" collapsed="false">
      <c r="A1191" s="12"/>
      <c r="B1191" s="13"/>
      <c r="C1191" s="13"/>
      <c r="D1191" s="13"/>
      <c r="E1191" s="7" t="str">
        <f aca="false">IF(D1191="","",IFERROR(INDEX(Materiali!$B:$B,MATCH(D1191,Materiali!$A:$A,0)),"codice?"))</f>
        <v/>
      </c>
      <c r="F1191" s="13"/>
      <c r="G1191" s="13"/>
      <c r="H1191" s="9" t="str">
        <f aca="false">IF(D1191="","",IFERROR(INDEX(Materiali!$C:$C,MATCH(D1191,Materiali!$A:$A,0)),0))</f>
        <v/>
      </c>
      <c r="I1191" s="9" t="str">
        <f aca="false">IF(OR(G1191="",H1191=""),"",IF(F1191="Uscita",-1,1)*G1191*H1191)</f>
        <v/>
      </c>
      <c r="J1191" s="13"/>
      <c r="K1191" s="13"/>
    </row>
    <row r="1192" customFormat="false" ht="15" hidden="false" customHeight="false" outlineLevel="0" collapsed="false">
      <c r="A1192" s="12"/>
      <c r="B1192" s="13"/>
      <c r="C1192" s="13"/>
      <c r="D1192" s="13"/>
      <c r="E1192" s="7" t="str">
        <f aca="false">IF(D1192="","",IFERROR(INDEX(Materiali!$B:$B,MATCH(D1192,Materiali!$A:$A,0)),"codice?"))</f>
        <v/>
      </c>
      <c r="F1192" s="13"/>
      <c r="G1192" s="13"/>
      <c r="H1192" s="9" t="str">
        <f aca="false">IF(D1192="","",IFERROR(INDEX(Materiali!$C:$C,MATCH(D1192,Materiali!$A:$A,0)),0))</f>
        <v/>
      </c>
      <c r="I1192" s="9" t="str">
        <f aca="false">IF(OR(G1192="",H1192=""),"",IF(F1192="Uscita",-1,1)*G1192*H1192)</f>
        <v/>
      </c>
      <c r="J1192" s="13"/>
      <c r="K1192" s="13"/>
    </row>
    <row r="1193" customFormat="false" ht="15" hidden="false" customHeight="false" outlineLevel="0" collapsed="false">
      <c r="A1193" s="12"/>
      <c r="B1193" s="13"/>
      <c r="C1193" s="13"/>
      <c r="D1193" s="13"/>
      <c r="E1193" s="7" t="str">
        <f aca="false">IF(D1193="","",IFERROR(INDEX(Materiali!$B:$B,MATCH(D1193,Materiali!$A:$A,0)),"codice?"))</f>
        <v/>
      </c>
      <c r="F1193" s="13"/>
      <c r="G1193" s="13"/>
      <c r="H1193" s="9" t="str">
        <f aca="false">IF(D1193="","",IFERROR(INDEX(Materiali!$C:$C,MATCH(D1193,Materiali!$A:$A,0)),0))</f>
        <v/>
      </c>
      <c r="I1193" s="9" t="str">
        <f aca="false">IF(OR(G1193="",H1193=""),"",IF(F1193="Uscita",-1,1)*G1193*H1193)</f>
        <v/>
      </c>
      <c r="J1193" s="13"/>
      <c r="K1193" s="13"/>
    </row>
    <row r="1194" customFormat="false" ht="15" hidden="false" customHeight="false" outlineLevel="0" collapsed="false">
      <c r="A1194" s="12"/>
      <c r="B1194" s="13"/>
      <c r="C1194" s="13"/>
      <c r="D1194" s="13"/>
      <c r="E1194" s="7" t="str">
        <f aca="false">IF(D1194="","",IFERROR(INDEX(Materiali!$B:$B,MATCH(D1194,Materiali!$A:$A,0)),"codice?"))</f>
        <v/>
      </c>
      <c r="F1194" s="13"/>
      <c r="G1194" s="13"/>
      <c r="H1194" s="9" t="str">
        <f aca="false">IF(D1194="","",IFERROR(INDEX(Materiali!$C:$C,MATCH(D1194,Materiali!$A:$A,0)),0))</f>
        <v/>
      </c>
      <c r="I1194" s="9" t="str">
        <f aca="false">IF(OR(G1194="",H1194=""),"",IF(F1194="Uscita",-1,1)*G1194*H1194)</f>
        <v/>
      </c>
      <c r="J1194" s="13"/>
      <c r="K1194" s="13"/>
    </row>
    <row r="1195" customFormat="false" ht="15" hidden="false" customHeight="false" outlineLevel="0" collapsed="false">
      <c r="A1195" s="12"/>
      <c r="B1195" s="13"/>
      <c r="C1195" s="13"/>
      <c r="D1195" s="13"/>
      <c r="E1195" s="7" t="str">
        <f aca="false">IF(D1195="","",IFERROR(INDEX(Materiali!$B:$B,MATCH(D1195,Materiali!$A:$A,0)),"codice?"))</f>
        <v/>
      </c>
      <c r="F1195" s="13"/>
      <c r="G1195" s="13"/>
      <c r="H1195" s="9" t="str">
        <f aca="false">IF(D1195="","",IFERROR(INDEX(Materiali!$C:$C,MATCH(D1195,Materiali!$A:$A,0)),0))</f>
        <v/>
      </c>
      <c r="I1195" s="9" t="str">
        <f aca="false">IF(OR(G1195="",H1195=""),"",IF(F1195="Uscita",-1,1)*G1195*H1195)</f>
        <v/>
      </c>
      <c r="J1195" s="13"/>
      <c r="K1195" s="13"/>
    </row>
    <row r="1196" customFormat="false" ht="15" hidden="false" customHeight="false" outlineLevel="0" collapsed="false">
      <c r="A1196" s="12"/>
      <c r="B1196" s="13"/>
      <c r="C1196" s="13"/>
      <c r="D1196" s="13"/>
      <c r="E1196" s="7" t="str">
        <f aca="false">IF(D1196="","",IFERROR(INDEX(Materiali!$B:$B,MATCH(D1196,Materiali!$A:$A,0)),"codice?"))</f>
        <v/>
      </c>
      <c r="F1196" s="13"/>
      <c r="G1196" s="13"/>
      <c r="H1196" s="9" t="str">
        <f aca="false">IF(D1196="","",IFERROR(INDEX(Materiali!$C:$C,MATCH(D1196,Materiali!$A:$A,0)),0))</f>
        <v/>
      </c>
      <c r="I1196" s="9" t="str">
        <f aca="false">IF(OR(G1196="",H1196=""),"",IF(F1196="Uscita",-1,1)*G1196*H1196)</f>
        <v/>
      </c>
      <c r="J1196" s="13"/>
      <c r="K1196" s="13"/>
    </row>
    <row r="1197" customFormat="false" ht="15" hidden="false" customHeight="false" outlineLevel="0" collapsed="false">
      <c r="A1197" s="12"/>
      <c r="B1197" s="13"/>
      <c r="C1197" s="13"/>
      <c r="D1197" s="13"/>
      <c r="E1197" s="7" t="str">
        <f aca="false">IF(D1197="","",IFERROR(INDEX(Materiali!$B:$B,MATCH(D1197,Materiali!$A:$A,0)),"codice?"))</f>
        <v/>
      </c>
      <c r="F1197" s="13"/>
      <c r="G1197" s="13"/>
      <c r="H1197" s="9" t="str">
        <f aca="false">IF(D1197="","",IFERROR(INDEX(Materiali!$C:$C,MATCH(D1197,Materiali!$A:$A,0)),0))</f>
        <v/>
      </c>
      <c r="I1197" s="9" t="str">
        <f aca="false">IF(OR(G1197="",H1197=""),"",IF(F1197="Uscita",-1,1)*G1197*H1197)</f>
        <v/>
      </c>
      <c r="J1197" s="13"/>
      <c r="K1197" s="13"/>
    </row>
    <row r="1198" customFormat="false" ht="15" hidden="false" customHeight="false" outlineLevel="0" collapsed="false">
      <c r="A1198" s="12"/>
      <c r="B1198" s="13"/>
      <c r="C1198" s="13"/>
      <c r="D1198" s="13"/>
      <c r="E1198" s="7" t="str">
        <f aca="false">IF(D1198="","",IFERROR(INDEX(Materiali!$B:$B,MATCH(D1198,Materiali!$A:$A,0)),"codice?"))</f>
        <v/>
      </c>
      <c r="F1198" s="13"/>
      <c r="G1198" s="13"/>
      <c r="H1198" s="9" t="str">
        <f aca="false">IF(D1198="","",IFERROR(INDEX(Materiali!$C:$C,MATCH(D1198,Materiali!$A:$A,0)),0))</f>
        <v/>
      </c>
      <c r="I1198" s="9" t="str">
        <f aca="false">IF(OR(G1198="",H1198=""),"",IF(F1198="Uscita",-1,1)*G1198*H1198)</f>
        <v/>
      </c>
      <c r="J1198" s="13"/>
      <c r="K1198" s="13"/>
    </row>
    <row r="1199" customFormat="false" ht="15" hidden="false" customHeight="false" outlineLevel="0" collapsed="false">
      <c r="A1199" s="12"/>
      <c r="B1199" s="13"/>
      <c r="C1199" s="13"/>
      <c r="D1199" s="13"/>
      <c r="E1199" s="7" t="str">
        <f aca="false">IF(D1199="","",IFERROR(INDEX(Materiali!$B:$B,MATCH(D1199,Materiali!$A:$A,0)),"codice?"))</f>
        <v/>
      </c>
      <c r="F1199" s="13"/>
      <c r="G1199" s="13"/>
      <c r="H1199" s="9" t="str">
        <f aca="false">IF(D1199="","",IFERROR(INDEX(Materiali!$C:$C,MATCH(D1199,Materiali!$A:$A,0)),0))</f>
        <v/>
      </c>
      <c r="I1199" s="9" t="str">
        <f aca="false">IF(OR(G1199="",H1199=""),"",IF(F1199="Uscita",-1,1)*G1199*H1199)</f>
        <v/>
      </c>
      <c r="J1199" s="13"/>
      <c r="K1199" s="13"/>
    </row>
    <row r="1200" customFormat="false" ht="15" hidden="false" customHeight="false" outlineLevel="0" collapsed="false">
      <c r="A1200" s="12"/>
      <c r="B1200" s="13"/>
      <c r="C1200" s="13"/>
      <c r="D1200" s="13"/>
      <c r="E1200" s="7" t="str">
        <f aca="false">IF(D1200="","",IFERROR(INDEX(Materiali!$B:$B,MATCH(D1200,Materiali!$A:$A,0)),"codice?"))</f>
        <v/>
      </c>
      <c r="F1200" s="13"/>
      <c r="G1200" s="13"/>
      <c r="H1200" s="9" t="str">
        <f aca="false">IF(D1200="","",IFERROR(INDEX(Materiali!$C:$C,MATCH(D1200,Materiali!$A:$A,0)),0))</f>
        <v/>
      </c>
      <c r="I1200" s="9" t="str">
        <f aca="false">IF(OR(G1200="",H1200=""),"",IF(F1200="Uscita",-1,1)*G1200*H1200)</f>
        <v/>
      </c>
      <c r="J1200" s="13"/>
      <c r="K1200" s="13"/>
    </row>
    <row r="1201" customFormat="false" ht="15" hidden="false" customHeight="false" outlineLevel="0" collapsed="false">
      <c r="A1201" s="12"/>
      <c r="B1201" s="13"/>
      <c r="C1201" s="13"/>
      <c r="D1201" s="13"/>
      <c r="E1201" s="7" t="str">
        <f aca="false">IF(D1201="","",IFERROR(INDEX(Materiali!$B:$B,MATCH(D1201,Materiali!$A:$A,0)),"codice?"))</f>
        <v/>
      </c>
      <c r="F1201" s="13"/>
      <c r="G1201" s="13"/>
      <c r="H1201" s="9" t="str">
        <f aca="false">IF(D1201="","",IFERROR(INDEX(Materiali!$C:$C,MATCH(D1201,Materiali!$A:$A,0)),0))</f>
        <v/>
      </c>
      <c r="I1201" s="9" t="str">
        <f aca="false">IF(OR(G1201="",H1201=""),"",IF(F1201="Uscita",-1,1)*G1201*H1201)</f>
        <v/>
      </c>
      <c r="J1201" s="13"/>
      <c r="K1201" s="13"/>
    </row>
    <row r="1202" customFormat="false" ht="15" hidden="false" customHeight="false" outlineLevel="0" collapsed="false">
      <c r="A1202" s="12"/>
      <c r="B1202" s="13"/>
      <c r="C1202" s="13"/>
      <c r="D1202" s="13"/>
      <c r="E1202" s="7" t="str">
        <f aca="false">IF(D1202="","",IFERROR(INDEX(Materiali!$B:$B,MATCH(D1202,Materiali!$A:$A,0)),"codice?"))</f>
        <v/>
      </c>
      <c r="F1202" s="13"/>
      <c r="G1202" s="13"/>
      <c r="H1202" s="9" t="str">
        <f aca="false">IF(D1202="","",IFERROR(INDEX(Materiali!$C:$C,MATCH(D1202,Materiali!$A:$A,0)),0))</f>
        <v/>
      </c>
      <c r="I1202" s="9" t="str">
        <f aca="false">IF(OR(G1202="",H1202=""),"",IF(F1202="Uscita",-1,1)*G1202*H1202)</f>
        <v/>
      </c>
      <c r="J1202" s="13"/>
      <c r="K1202" s="13"/>
    </row>
    <row r="1203" customFormat="false" ht="15" hidden="false" customHeight="false" outlineLevel="0" collapsed="false">
      <c r="A1203" s="12"/>
      <c r="B1203" s="13"/>
      <c r="C1203" s="13"/>
      <c r="D1203" s="13"/>
      <c r="E1203" s="7" t="str">
        <f aca="false">IF(D1203="","",IFERROR(INDEX(Materiali!$B:$B,MATCH(D1203,Materiali!$A:$A,0)),"codice?"))</f>
        <v/>
      </c>
      <c r="F1203" s="13"/>
      <c r="G1203" s="13"/>
      <c r="H1203" s="9" t="str">
        <f aca="false">IF(D1203="","",IFERROR(INDEX(Materiali!$C:$C,MATCH(D1203,Materiali!$A:$A,0)),0))</f>
        <v/>
      </c>
      <c r="I1203" s="9" t="str">
        <f aca="false">IF(OR(G1203="",H1203=""),"",IF(F1203="Uscita",-1,1)*G1203*H1203)</f>
        <v/>
      </c>
      <c r="J1203" s="13"/>
      <c r="K1203" s="13"/>
    </row>
    <row r="1204" customFormat="false" ht="15" hidden="false" customHeight="false" outlineLevel="0" collapsed="false">
      <c r="A1204" s="12"/>
      <c r="B1204" s="13"/>
      <c r="C1204" s="13"/>
      <c r="D1204" s="13"/>
      <c r="E1204" s="7" t="str">
        <f aca="false">IF(D1204="","",IFERROR(INDEX(Materiali!$B:$B,MATCH(D1204,Materiali!$A:$A,0)),"codice?"))</f>
        <v/>
      </c>
      <c r="F1204" s="13"/>
      <c r="G1204" s="13"/>
      <c r="H1204" s="9" t="str">
        <f aca="false">IF(D1204="","",IFERROR(INDEX(Materiali!$C:$C,MATCH(D1204,Materiali!$A:$A,0)),0))</f>
        <v/>
      </c>
      <c r="I1204" s="9" t="str">
        <f aca="false">IF(OR(G1204="",H1204=""),"",IF(F1204="Uscita",-1,1)*G1204*H1204)</f>
        <v/>
      </c>
      <c r="J1204" s="13"/>
      <c r="K1204" s="13"/>
    </row>
    <row r="1205" customFormat="false" ht="15" hidden="false" customHeight="false" outlineLevel="0" collapsed="false">
      <c r="A1205" s="12"/>
      <c r="B1205" s="13"/>
      <c r="C1205" s="13"/>
      <c r="D1205" s="13"/>
      <c r="E1205" s="7" t="str">
        <f aca="false">IF(D1205="","",IFERROR(INDEX(Materiali!$B:$B,MATCH(D1205,Materiali!$A:$A,0)),"codice?"))</f>
        <v/>
      </c>
      <c r="F1205" s="13"/>
      <c r="G1205" s="13"/>
      <c r="H1205" s="9" t="str">
        <f aca="false">IF(D1205="","",IFERROR(INDEX(Materiali!$C:$C,MATCH(D1205,Materiali!$A:$A,0)),0))</f>
        <v/>
      </c>
      <c r="I1205" s="9" t="str">
        <f aca="false">IF(OR(G1205="",H1205=""),"",IF(F1205="Uscita",-1,1)*G1205*H1205)</f>
        <v/>
      </c>
      <c r="J1205" s="13"/>
      <c r="K1205" s="13"/>
    </row>
    <row r="1206" customFormat="false" ht="15" hidden="false" customHeight="false" outlineLevel="0" collapsed="false">
      <c r="A1206" s="12"/>
      <c r="B1206" s="13"/>
      <c r="C1206" s="13"/>
      <c r="D1206" s="13"/>
      <c r="E1206" s="7" t="str">
        <f aca="false">IF(D1206="","",IFERROR(INDEX(Materiali!$B:$B,MATCH(D1206,Materiali!$A:$A,0)),"codice?"))</f>
        <v/>
      </c>
      <c r="F1206" s="13"/>
      <c r="G1206" s="13"/>
      <c r="H1206" s="9" t="str">
        <f aca="false">IF(D1206="","",IFERROR(INDEX(Materiali!$C:$C,MATCH(D1206,Materiali!$A:$A,0)),0))</f>
        <v/>
      </c>
      <c r="I1206" s="9" t="str">
        <f aca="false">IF(OR(G1206="",H1206=""),"",IF(F1206="Uscita",-1,1)*G1206*H1206)</f>
        <v/>
      </c>
      <c r="J1206" s="13"/>
      <c r="K1206" s="13"/>
    </row>
    <row r="1207" customFormat="false" ht="15" hidden="false" customHeight="false" outlineLevel="0" collapsed="false">
      <c r="A1207" s="12"/>
      <c r="B1207" s="13"/>
      <c r="C1207" s="13"/>
      <c r="D1207" s="13"/>
      <c r="E1207" s="7" t="str">
        <f aca="false">IF(D1207="","",IFERROR(INDEX(Materiali!$B:$B,MATCH(D1207,Materiali!$A:$A,0)),"codice?"))</f>
        <v/>
      </c>
      <c r="F1207" s="13"/>
      <c r="G1207" s="13"/>
      <c r="H1207" s="9" t="str">
        <f aca="false">IF(D1207="","",IFERROR(INDEX(Materiali!$C:$C,MATCH(D1207,Materiali!$A:$A,0)),0))</f>
        <v/>
      </c>
      <c r="I1207" s="9" t="str">
        <f aca="false">IF(OR(G1207="",H1207=""),"",IF(F1207="Uscita",-1,1)*G1207*H1207)</f>
        <v/>
      </c>
      <c r="J1207" s="13"/>
      <c r="K1207" s="13"/>
    </row>
    <row r="1208" customFormat="false" ht="15" hidden="false" customHeight="false" outlineLevel="0" collapsed="false">
      <c r="A1208" s="12"/>
      <c r="B1208" s="13"/>
      <c r="C1208" s="13"/>
      <c r="D1208" s="13"/>
      <c r="E1208" s="7" t="str">
        <f aca="false">IF(D1208="","",IFERROR(INDEX(Materiali!$B:$B,MATCH(D1208,Materiali!$A:$A,0)),"codice?"))</f>
        <v/>
      </c>
      <c r="F1208" s="13"/>
      <c r="G1208" s="13"/>
      <c r="H1208" s="9" t="str">
        <f aca="false">IF(D1208="","",IFERROR(INDEX(Materiali!$C:$C,MATCH(D1208,Materiali!$A:$A,0)),0))</f>
        <v/>
      </c>
      <c r="I1208" s="9" t="str">
        <f aca="false">IF(OR(G1208="",H1208=""),"",IF(F1208="Uscita",-1,1)*G1208*H1208)</f>
        <v/>
      </c>
      <c r="J1208" s="13"/>
      <c r="K1208" s="13"/>
    </row>
    <row r="1209" customFormat="false" ht="15" hidden="false" customHeight="false" outlineLevel="0" collapsed="false">
      <c r="A1209" s="12"/>
      <c r="B1209" s="13"/>
      <c r="C1209" s="13"/>
      <c r="D1209" s="13"/>
      <c r="E1209" s="7" t="str">
        <f aca="false">IF(D1209="","",IFERROR(INDEX(Materiali!$B:$B,MATCH(D1209,Materiali!$A:$A,0)),"codice?"))</f>
        <v/>
      </c>
      <c r="F1209" s="13"/>
      <c r="G1209" s="13"/>
      <c r="H1209" s="9" t="str">
        <f aca="false">IF(D1209="","",IFERROR(INDEX(Materiali!$C:$C,MATCH(D1209,Materiali!$A:$A,0)),0))</f>
        <v/>
      </c>
      <c r="I1209" s="9" t="str">
        <f aca="false">IF(OR(G1209="",H1209=""),"",IF(F1209="Uscita",-1,1)*G1209*H1209)</f>
        <v/>
      </c>
      <c r="J1209" s="13"/>
      <c r="K1209" s="13"/>
    </row>
    <row r="1210" customFormat="false" ht="15" hidden="false" customHeight="false" outlineLevel="0" collapsed="false">
      <c r="A1210" s="12"/>
      <c r="B1210" s="13"/>
      <c r="C1210" s="13"/>
      <c r="D1210" s="13"/>
      <c r="E1210" s="7" t="str">
        <f aca="false">IF(D1210="","",IFERROR(INDEX(Materiali!$B:$B,MATCH(D1210,Materiali!$A:$A,0)),"codice?"))</f>
        <v/>
      </c>
      <c r="F1210" s="13"/>
      <c r="G1210" s="13"/>
      <c r="H1210" s="9" t="str">
        <f aca="false">IF(D1210="","",IFERROR(INDEX(Materiali!$C:$C,MATCH(D1210,Materiali!$A:$A,0)),0))</f>
        <v/>
      </c>
      <c r="I1210" s="9" t="str">
        <f aca="false">IF(OR(G1210="",H1210=""),"",IF(F1210="Uscita",-1,1)*G1210*H1210)</f>
        <v/>
      </c>
      <c r="J1210" s="13"/>
      <c r="K1210" s="13"/>
    </row>
    <row r="1211" customFormat="false" ht="15" hidden="false" customHeight="false" outlineLevel="0" collapsed="false">
      <c r="A1211" s="12"/>
      <c r="B1211" s="13"/>
      <c r="C1211" s="13"/>
      <c r="D1211" s="13"/>
      <c r="E1211" s="7" t="str">
        <f aca="false">IF(D1211="","",IFERROR(INDEX(Materiali!$B:$B,MATCH(D1211,Materiali!$A:$A,0)),"codice?"))</f>
        <v/>
      </c>
      <c r="F1211" s="13"/>
      <c r="G1211" s="13"/>
      <c r="H1211" s="9" t="str">
        <f aca="false">IF(D1211="","",IFERROR(INDEX(Materiali!$C:$C,MATCH(D1211,Materiali!$A:$A,0)),0))</f>
        <v/>
      </c>
      <c r="I1211" s="9" t="str">
        <f aca="false">IF(OR(G1211="",H1211=""),"",IF(F1211="Uscita",-1,1)*G1211*H1211)</f>
        <v/>
      </c>
      <c r="J1211" s="13"/>
      <c r="K1211" s="13"/>
    </row>
    <row r="1212" customFormat="false" ht="15" hidden="false" customHeight="false" outlineLevel="0" collapsed="false">
      <c r="A1212" s="12"/>
      <c r="B1212" s="13"/>
      <c r="C1212" s="13"/>
      <c r="D1212" s="13"/>
      <c r="E1212" s="7" t="str">
        <f aca="false">IF(D1212="","",IFERROR(INDEX(Materiali!$B:$B,MATCH(D1212,Materiali!$A:$A,0)),"codice?"))</f>
        <v/>
      </c>
      <c r="F1212" s="13"/>
      <c r="G1212" s="13"/>
      <c r="H1212" s="9" t="str">
        <f aca="false">IF(D1212="","",IFERROR(INDEX(Materiali!$C:$C,MATCH(D1212,Materiali!$A:$A,0)),0))</f>
        <v/>
      </c>
      <c r="I1212" s="9" t="str">
        <f aca="false">IF(OR(G1212="",H1212=""),"",IF(F1212="Uscita",-1,1)*G1212*H1212)</f>
        <v/>
      </c>
      <c r="J1212" s="13"/>
      <c r="K1212" s="13"/>
    </row>
    <row r="1213" customFormat="false" ht="15" hidden="false" customHeight="false" outlineLevel="0" collapsed="false">
      <c r="A1213" s="12"/>
      <c r="B1213" s="13"/>
      <c r="C1213" s="13"/>
      <c r="D1213" s="13"/>
      <c r="E1213" s="7" t="str">
        <f aca="false">IF(D1213="","",IFERROR(INDEX(Materiali!$B:$B,MATCH(D1213,Materiali!$A:$A,0)),"codice?"))</f>
        <v/>
      </c>
      <c r="F1213" s="13"/>
      <c r="G1213" s="13"/>
      <c r="H1213" s="9" t="str">
        <f aca="false">IF(D1213="","",IFERROR(INDEX(Materiali!$C:$C,MATCH(D1213,Materiali!$A:$A,0)),0))</f>
        <v/>
      </c>
      <c r="I1213" s="9" t="str">
        <f aca="false">IF(OR(G1213="",H1213=""),"",IF(F1213="Uscita",-1,1)*G1213*H1213)</f>
        <v/>
      </c>
      <c r="J1213" s="13"/>
      <c r="K1213" s="13"/>
    </row>
    <row r="1214" customFormat="false" ht="15" hidden="false" customHeight="false" outlineLevel="0" collapsed="false">
      <c r="A1214" s="12"/>
      <c r="B1214" s="13"/>
      <c r="C1214" s="13"/>
      <c r="D1214" s="13"/>
      <c r="E1214" s="7" t="str">
        <f aca="false">IF(D1214="","",IFERROR(INDEX(Materiali!$B:$B,MATCH(D1214,Materiali!$A:$A,0)),"codice?"))</f>
        <v/>
      </c>
      <c r="F1214" s="13"/>
      <c r="G1214" s="13"/>
      <c r="H1214" s="9" t="str">
        <f aca="false">IF(D1214="","",IFERROR(INDEX(Materiali!$C:$C,MATCH(D1214,Materiali!$A:$A,0)),0))</f>
        <v/>
      </c>
      <c r="I1214" s="9" t="str">
        <f aca="false">IF(OR(G1214="",H1214=""),"",IF(F1214="Uscita",-1,1)*G1214*H1214)</f>
        <v/>
      </c>
      <c r="J1214" s="13"/>
      <c r="K1214" s="13"/>
    </row>
    <row r="1215" customFormat="false" ht="15" hidden="false" customHeight="false" outlineLevel="0" collapsed="false">
      <c r="A1215" s="12"/>
      <c r="B1215" s="13"/>
      <c r="C1215" s="13"/>
      <c r="D1215" s="13"/>
      <c r="E1215" s="7" t="str">
        <f aca="false">IF(D1215="","",IFERROR(INDEX(Materiali!$B:$B,MATCH(D1215,Materiali!$A:$A,0)),"codice?"))</f>
        <v/>
      </c>
      <c r="F1215" s="13"/>
      <c r="G1215" s="13"/>
      <c r="H1215" s="9" t="str">
        <f aca="false">IF(D1215="","",IFERROR(INDEX(Materiali!$C:$C,MATCH(D1215,Materiali!$A:$A,0)),0))</f>
        <v/>
      </c>
      <c r="I1215" s="9" t="str">
        <f aca="false">IF(OR(G1215="",H1215=""),"",IF(F1215="Uscita",-1,1)*G1215*H1215)</f>
        <v/>
      </c>
      <c r="J1215" s="13"/>
      <c r="K1215" s="13"/>
    </row>
    <row r="1216" customFormat="false" ht="15" hidden="false" customHeight="false" outlineLevel="0" collapsed="false">
      <c r="A1216" s="12"/>
      <c r="B1216" s="13"/>
      <c r="C1216" s="13"/>
      <c r="D1216" s="13"/>
      <c r="E1216" s="7" t="str">
        <f aca="false">IF(D1216="","",IFERROR(INDEX(Materiali!$B:$B,MATCH(D1216,Materiali!$A:$A,0)),"codice?"))</f>
        <v/>
      </c>
      <c r="F1216" s="13"/>
      <c r="G1216" s="13"/>
      <c r="H1216" s="9" t="str">
        <f aca="false">IF(D1216="","",IFERROR(INDEX(Materiali!$C:$C,MATCH(D1216,Materiali!$A:$A,0)),0))</f>
        <v/>
      </c>
      <c r="I1216" s="9" t="str">
        <f aca="false">IF(OR(G1216="",H1216=""),"",IF(F1216="Uscita",-1,1)*G1216*H1216)</f>
        <v/>
      </c>
      <c r="J1216" s="13"/>
      <c r="K1216" s="13"/>
    </row>
    <row r="1217" customFormat="false" ht="15" hidden="false" customHeight="false" outlineLevel="0" collapsed="false">
      <c r="A1217" s="12"/>
      <c r="B1217" s="13"/>
      <c r="C1217" s="13"/>
      <c r="D1217" s="13"/>
      <c r="E1217" s="7" t="str">
        <f aca="false">IF(D1217="","",IFERROR(INDEX(Materiali!$B:$B,MATCH(D1217,Materiali!$A:$A,0)),"codice?"))</f>
        <v/>
      </c>
      <c r="F1217" s="13"/>
      <c r="G1217" s="13"/>
      <c r="H1217" s="9" t="str">
        <f aca="false">IF(D1217="","",IFERROR(INDEX(Materiali!$C:$C,MATCH(D1217,Materiali!$A:$A,0)),0))</f>
        <v/>
      </c>
      <c r="I1217" s="9" t="str">
        <f aca="false">IF(OR(G1217="",H1217=""),"",IF(F1217="Uscita",-1,1)*G1217*H1217)</f>
        <v/>
      </c>
      <c r="J1217" s="13"/>
      <c r="K1217" s="13"/>
    </row>
    <row r="1218" customFormat="false" ht="15" hidden="false" customHeight="false" outlineLevel="0" collapsed="false">
      <c r="A1218" s="12"/>
      <c r="B1218" s="13"/>
      <c r="C1218" s="13"/>
      <c r="D1218" s="13"/>
      <c r="E1218" s="7" t="str">
        <f aca="false">IF(D1218="","",IFERROR(INDEX(Materiali!$B:$B,MATCH(D1218,Materiali!$A:$A,0)),"codice?"))</f>
        <v/>
      </c>
      <c r="F1218" s="13"/>
      <c r="G1218" s="13"/>
      <c r="H1218" s="9" t="str">
        <f aca="false">IF(D1218="","",IFERROR(INDEX(Materiali!$C:$C,MATCH(D1218,Materiali!$A:$A,0)),0))</f>
        <v/>
      </c>
      <c r="I1218" s="9" t="str">
        <f aca="false">IF(OR(G1218="",H1218=""),"",IF(F1218="Uscita",-1,1)*G1218*H1218)</f>
        <v/>
      </c>
      <c r="J1218" s="13"/>
      <c r="K1218" s="13"/>
    </row>
    <row r="1219" customFormat="false" ht="15" hidden="false" customHeight="false" outlineLevel="0" collapsed="false">
      <c r="A1219" s="12"/>
      <c r="B1219" s="13"/>
      <c r="C1219" s="13"/>
      <c r="D1219" s="13"/>
      <c r="E1219" s="7" t="str">
        <f aca="false">IF(D1219="","",IFERROR(INDEX(Materiali!$B:$B,MATCH(D1219,Materiali!$A:$A,0)),"codice?"))</f>
        <v/>
      </c>
      <c r="F1219" s="13"/>
      <c r="G1219" s="13"/>
      <c r="H1219" s="9" t="str">
        <f aca="false">IF(D1219="","",IFERROR(INDEX(Materiali!$C:$C,MATCH(D1219,Materiali!$A:$A,0)),0))</f>
        <v/>
      </c>
      <c r="I1219" s="9" t="str">
        <f aca="false">IF(OR(G1219="",H1219=""),"",IF(F1219="Uscita",-1,1)*G1219*H1219)</f>
        <v/>
      </c>
      <c r="J1219" s="13"/>
      <c r="K1219" s="13"/>
    </row>
    <row r="1220" customFormat="false" ht="15" hidden="false" customHeight="false" outlineLevel="0" collapsed="false">
      <c r="A1220" s="12"/>
      <c r="B1220" s="13"/>
      <c r="C1220" s="13"/>
      <c r="D1220" s="13"/>
      <c r="E1220" s="7" t="str">
        <f aca="false">IF(D1220="","",IFERROR(INDEX(Materiali!$B:$B,MATCH(D1220,Materiali!$A:$A,0)),"codice?"))</f>
        <v/>
      </c>
      <c r="F1220" s="13"/>
      <c r="G1220" s="13"/>
      <c r="H1220" s="9" t="str">
        <f aca="false">IF(D1220="","",IFERROR(INDEX(Materiali!$C:$C,MATCH(D1220,Materiali!$A:$A,0)),0))</f>
        <v/>
      </c>
      <c r="I1220" s="9" t="str">
        <f aca="false">IF(OR(G1220="",H1220=""),"",IF(F1220="Uscita",-1,1)*G1220*H1220)</f>
        <v/>
      </c>
      <c r="J1220" s="13"/>
      <c r="K1220" s="13"/>
    </row>
    <row r="1221" customFormat="false" ht="15" hidden="false" customHeight="false" outlineLevel="0" collapsed="false">
      <c r="A1221" s="12"/>
      <c r="B1221" s="13"/>
      <c r="C1221" s="13"/>
      <c r="D1221" s="13"/>
      <c r="E1221" s="7" t="str">
        <f aca="false">IF(D1221="","",IFERROR(INDEX(Materiali!$B:$B,MATCH(D1221,Materiali!$A:$A,0)),"codice?"))</f>
        <v/>
      </c>
      <c r="F1221" s="13"/>
      <c r="G1221" s="13"/>
      <c r="H1221" s="9" t="str">
        <f aca="false">IF(D1221="","",IFERROR(INDEX(Materiali!$C:$C,MATCH(D1221,Materiali!$A:$A,0)),0))</f>
        <v/>
      </c>
      <c r="I1221" s="9" t="str">
        <f aca="false">IF(OR(G1221="",H1221=""),"",IF(F1221="Uscita",-1,1)*G1221*H1221)</f>
        <v/>
      </c>
      <c r="J1221" s="13"/>
      <c r="K1221" s="13"/>
    </row>
    <row r="1222" customFormat="false" ht="15" hidden="false" customHeight="false" outlineLevel="0" collapsed="false">
      <c r="A1222" s="12"/>
      <c r="B1222" s="13"/>
      <c r="C1222" s="13"/>
      <c r="D1222" s="13"/>
      <c r="E1222" s="7" t="str">
        <f aca="false">IF(D1222="","",IFERROR(INDEX(Materiali!$B:$B,MATCH(D1222,Materiali!$A:$A,0)),"codice?"))</f>
        <v/>
      </c>
      <c r="F1222" s="13"/>
      <c r="G1222" s="13"/>
      <c r="H1222" s="9" t="str">
        <f aca="false">IF(D1222="","",IFERROR(INDEX(Materiali!$C:$C,MATCH(D1222,Materiali!$A:$A,0)),0))</f>
        <v/>
      </c>
      <c r="I1222" s="9" t="str">
        <f aca="false">IF(OR(G1222="",H1222=""),"",IF(F1222="Uscita",-1,1)*G1222*H1222)</f>
        <v/>
      </c>
      <c r="J1222" s="13"/>
      <c r="K1222" s="13"/>
    </row>
    <row r="1223" customFormat="false" ht="15" hidden="false" customHeight="false" outlineLevel="0" collapsed="false">
      <c r="A1223" s="12"/>
      <c r="B1223" s="13"/>
      <c r="C1223" s="13"/>
      <c r="D1223" s="13"/>
      <c r="E1223" s="7" t="str">
        <f aca="false">IF(D1223="","",IFERROR(INDEX(Materiali!$B:$B,MATCH(D1223,Materiali!$A:$A,0)),"codice?"))</f>
        <v/>
      </c>
      <c r="F1223" s="13"/>
      <c r="G1223" s="13"/>
      <c r="H1223" s="9" t="str">
        <f aca="false">IF(D1223="","",IFERROR(INDEX(Materiali!$C:$C,MATCH(D1223,Materiali!$A:$A,0)),0))</f>
        <v/>
      </c>
      <c r="I1223" s="9" t="str">
        <f aca="false">IF(OR(G1223="",H1223=""),"",IF(F1223="Uscita",-1,1)*G1223*H1223)</f>
        <v/>
      </c>
      <c r="J1223" s="13"/>
      <c r="K1223" s="13"/>
    </row>
    <row r="1224" customFormat="false" ht="15" hidden="false" customHeight="false" outlineLevel="0" collapsed="false">
      <c r="A1224" s="12"/>
      <c r="B1224" s="13"/>
      <c r="C1224" s="13"/>
      <c r="D1224" s="13"/>
      <c r="E1224" s="7" t="str">
        <f aca="false">IF(D1224="","",IFERROR(INDEX(Materiali!$B:$B,MATCH(D1224,Materiali!$A:$A,0)),"codice?"))</f>
        <v/>
      </c>
      <c r="F1224" s="13"/>
      <c r="G1224" s="13"/>
      <c r="H1224" s="9" t="str">
        <f aca="false">IF(D1224="","",IFERROR(INDEX(Materiali!$C:$C,MATCH(D1224,Materiali!$A:$A,0)),0))</f>
        <v/>
      </c>
      <c r="I1224" s="9" t="str">
        <f aca="false">IF(OR(G1224="",H1224=""),"",IF(F1224="Uscita",-1,1)*G1224*H1224)</f>
        <v/>
      </c>
      <c r="J1224" s="13"/>
      <c r="K1224" s="13"/>
    </row>
    <row r="1225" customFormat="false" ht="15" hidden="false" customHeight="false" outlineLevel="0" collapsed="false">
      <c r="A1225" s="12"/>
      <c r="B1225" s="13"/>
      <c r="C1225" s="13"/>
      <c r="D1225" s="13"/>
      <c r="E1225" s="7" t="str">
        <f aca="false">IF(D1225="","",IFERROR(INDEX(Materiali!$B:$B,MATCH(D1225,Materiali!$A:$A,0)),"codice?"))</f>
        <v/>
      </c>
      <c r="F1225" s="13"/>
      <c r="G1225" s="13"/>
      <c r="H1225" s="9" t="str">
        <f aca="false">IF(D1225="","",IFERROR(INDEX(Materiali!$C:$C,MATCH(D1225,Materiali!$A:$A,0)),0))</f>
        <v/>
      </c>
      <c r="I1225" s="9" t="str">
        <f aca="false">IF(OR(G1225="",H1225=""),"",IF(F1225="Uscita",-1,1)*G1225*H1225)</f>
        <v/>
      </c>
      <c r="J1225" s="13"/>
      <c r="K1225" s="13"/>
    </row>
    <row r="1226" customFormat="false" ht="15" hidden="false" customHeight="false" outlineLevel="0" collapsed="false">
      <c r="A1226" s="12"/>
      <c r="B1226" s="13"/>
      <c r="C1226" s="13"/>
      <c r="D1226" s="13"/>
      <c r="E1226" s="7" t="str">
        <f aca="false">IF(D1226="","",IFERROR(INDEX(Materiali!$B:$B,MATCH(D1226,Materiali!$A:$A,0)),"codice?"))</f>
        <v/>
      </c>
      <c r="F1226" s="13"/>
      <c r="G1226" s="13"/>
      <c r="H1226" s="9" t="str">
        <f aca="false">IF(D1226="","",IFERROR(INDEX(Materiali!$C:$C,MATCH(D1226,Materiali!$A:$A,0)),0))</f>
        <v/>
      </c>
      <c r="I1226" s="9" t="str">
        <f aca="false">IF(OR(G1226="",H1226=""),"",IF(F1226="Uscita",-1,1)*G1226*H1226)</f>
        <v/>
      </c>
      <c r="J1226" s="13"/>
      <c r="K1226" s="13"/>
    </row>
    <row r="1227" customFormat="false" ht="15" hidden="false" customHeight="false" outlineLevel="0" collapsed="false">
      <c r="A1227" s="12"/>
      <c r="B1227" s="13"/>
      <c r="C1227" s="13"/>
      <c r="D1227" s="13"/>
      <c r="E1227" s="7" t="str">
        <f aca="false">IF(D1227="","",IFERROR(INDEX(Materiali!$B:$B,MATCH(D1227,Materiali!$A:$A,0)),"codice?"))</f>
        <v/>
      </c>
      <c r="F1227" s="13"/>
      <c r="G1227" s="13"/>
      <c r="H1227" s="9" t="str">
        <f aca="false">IF(D1227="","",IFERROR(INDEX(Materiali!$C:$C,MATCH(D1227,Materiali!$A:$A,0)),0))</f>
        <v/>
      </c>
      <c r="I1227" s="9" t="str">
        <f aca="false">IF(OR(G1227="",H1227=""),"",IF(F1227="Uscita",-1,1)*G1227*H1227)</f>
        <v/>
      </c>
      <c r="J1227" s="13"/>
      <c r="K1227" s="13"/>
    </row>
    <row r="1228" customFormat="false" ht="15" hidden="false" customHeight="false" outlineLevel="0" collapsed="false">
      <c r="A1228" s="12"/>
      <c r="B1228" s="13"/>
      <c r="C1228" s="13"/>
      <c r="D1228" s="13"/>
      <c r="E1228" s="7" t="str">
        <f aca="false">IF(D1228="","",IFERROR(INDEX(Materiali!$B:$B,MATCH(D1228,Materiali!$A:$A,0)),"codice?"))</f>
        <v/>
      </c>
      <c r="F1228" s="13"/>
      <c r="G1228" s="13"/>
      <c r="H1228" s="9" t="str">
        <f aca="false">IF(D1228="","",IFERROR(INDEX(Materiali!$C:$C,MATCH(D1228,Materiali!$A:$A,0)),0))</f>
        <v/>
      </c>
      <c r="I1228" s="9" t="str">
        <f aca="false">IF(OR(G1228="",H1228=""),"",IF(F1228="Uscita",-1,1)*G1228*H1228)</f>
        <v/>
      </c>
      <c r="J1228" s="13"/>
      <c r="K1228" s="13"/>
    </row>
    <row r="1229" customFormat="false" ht="15" hidden="false" customHeight="false" outlineLevel="0" collapsed="false">
      <c r="A1229" s="12"/>
      <c r="B1229" s="13"/>
      <c r="C1229" s="13"/>
      <c r="D1229" s="13"/>
      <c r="E1229" s="7" t="str">
        <f aca="false">IF(D1229="","",IFERROR(INDEX(Materiali!$B:$B,MATCH(D1229,Materiali!$A:$A,0)),"codice?"))</f>
        <v/>
      </c>
      <c r="F1229" s="13"/>
      <c r="G1229" s="13"/>
      <c r="H1229" s="9" t="str">
        <f aca="false">IF(D1229="","",IFERROR(INDEX(Materiali!$C:$C,MATCH(D1229,Materiali!$A:$A,0)),0))</f>
        <v/>
      </c>
      <c r="I1229" s="9" t="str">
        <f aca="false">IF(OR(G1229="",H1229=""),"",IF(F1229="Uscita",-1,1)*G1229*H1229)</f>
        <v/>
      </c>
      <c r="J1229" s="13"/>
      <c r="K1229" s="13"/>
    </row>
    <row r="1230" customFormat="false" ht="15" hidden="false" customHeight="false" outlineLevel="0" collapsed="false">
      <c r="A1230" s="12"/>
      <c r="B1230" s="13"/>
      <c r="C1230" s="13"/>
      <c r="D1230" s="13"/>
      <c r="E1230" s="7" t="str">
        <f aca="false">IF(D1230="","",IFERROR(INDEX(Materiali!$B:$B,MATCH(D1230,Materiali!$A:$A,0)),"codice?"))</f>
        <v/>
      </c>
      <c r="F1230" s="13"/>
      <c r="G1230" s="13"/>
      <c r="H1230" s="9" t="str">
        <f aca="false">IF(D1230="","",IFERROR(INDEX(Materiali!$C:$C,MATCH(D1230,Materiali!$A:$A,0)),0))</f>
        <v/>
      </c>
      <c r="I1230" s="9" t="str">
        <f aca="false">IF(OR(G1230="",H1230=""),"",IF(F1230="Uscita",-1,1)*G1230*H1230)</f>
        <v/>
      </c>
      <c r="J1230" s="13"/>
      <c r="K1230" s="13"/>
    </row>
    <row r="1231" customFormat="false" ht="15" hidden="false" customHeight="false" outlineLevel="0" collapsed="false">
      <c r="A1231" s="12"/>
      <c r="B1231" s="13"/>
      <c r="C1231" s="13"/>
      <c r="D1231" s="13"/>
      <c r="E1231" s="7" t="str">
        <f aca="false">IF(D1231="","",IFERROR(INDEX(Materiali!$B:$B,MATCH(D1231,Materiali!$A:$A,0)),"codice?"))</f>
        <v/>
      </c>
      <c r="F1231" s="13"/>
      <c r="G1231" s="13"/>
      <c r="H1231" s="9" t="str">
        <f aca="false">IF(D1231="","",IFERROR(INDEX(Materiali!$C:$C,MATCH(D1231,Materiali!$A:$A,0)),0))</f>
        <v/>
      </c>
      <c r="I1231" s="9" t="str">
        <f aca="false">IF(OR(G1231="",H1231=""),"",IF(F1231="Uscita",-1,1)*G1231*H1231)</f>
        <v/>
      </c>
      <c r="J1231" s="13"/>
      <c r="K1231" s="13"/>
    </row>
    <row r="1232" customFormat="false" ht="15" hidden="false" customHeight="false" outlineLevel="0" collapsed="false">
      <c r="A1232" s="12"/>
      <c r="B1232" s="13"/>
      <c r="C1232" s="13"/>
      <c r="D1232" s="13"/>
      <c r="E1232" s="7" t="str">
        <f aca="false">IF(D1232="","",IFERROR(INDEX(Materiali!$B:$B,MATCH(D1232,Materiali!$A:$A,0)),"codice?"))</f>
        <v/>
      </c>
      <c r="F1232" s="13"/>
      <c r="G1232" s="13"/>
      <c r="H1232" s="9" t="str">
        <f aca="false">IF(D1232="","",IFERROR(INDEX(Materiali!$C:$C,MATCH(D1232,Materiali!$A:$A,0)),0))</f>
        <v/>
      </c>
      <c r="I1232" s="9" t="str">
        <f aca="false">IF(OR(G1232="",H1232=""),"",IF(F1232="Uscita",-1,1)*G1232*H1232)</f>
        <v/>
      </c>
      <c r="J1232" s="13"/>
      <c r="K1232" s="13"/>
    </row>
    <row r="1233" customFormat="false" ht="15" hidden="false" customHeight="false" outlineLevel="0" collapsed="false">
      <c r="A1233" s="12"/>
      <c r="B1233" s="13"/>
      <c r="C1233" s="13"/>
      <c r="D1233" s="13"/>
      <c r="E1233" s="7" t="str">
        <f aca="false">IF(D1233="","",IFERROR(INDEX(Materiali!$B:$B,MATCH(D1233,Materiali!$A:$A,0)),"codice?"))</f>
        <v/>
      </c>
      <c r="F1233" s="13"/>
      <c r="G1233" s="13"/>
      <c r="H1233" s="9" t="str">
        <f aca="false">IF(D1233="","",IFERROR(INDEX(Materiali!$C:$C,MATCH(D1233,Materiali!$A:$A,0)),0))</f>
        <v/>
      </c>
      <c r="I1233" s="9" t="str">
        <f aca="false">IF(OR(G1233="",H1233=""),"",IF(F1233="Uscita",-1,1)*G1233*H1233)</f>
        <v/>
      </c>
      <c r="J1233" s="13"/>
      <c r="K1233" s="13"/>
    </row>
    <row r="1234" customFormat="false" ht="15" hidden="false" customHeight="false" outlineLevel="0" collapsed="false">
      <c r="A1234" s="12"/>
      <c r="B1234" s="13"/>
      <c r="C1234" s="13"/>
      <c r="D1234" s="13"/>
      <c r="E1234" s="7" t="str">
        <f aca="false">IF(D1234="","",IFERROR(INDEX(Materiali!$B:$B,MATCH(D1234,Materiali!$A:$A,0)),"codice?"))</f>
        <v/>
      </c>
      <c r="F1234" s="13"/>
      <c r="G1234" s="13"/>
      <c r="H1234" s="9" t="str">
        <f aca="false">IF(D1234="","",IFERROR(INDEX(Materiali!$C:$C,MATCH(D1234,Materiali!$A:$A,0)),0))</f>
        <v/>
      </c>
      <c r="I1234" s="9" t="str">
        <f aca="false">IF(OR(G1234="",H1234=""),"",IF(F1234="Uscita",-1,1)*G1234*H1234)</f>
        <v/>
      </c>
      <c r="J1234" s="13"/>
      <c r="K1234" s="13"/>
    </row>
    <row r="1235" customFormat="false" ht="15" hidden="false" customHeight="false" outlineLevel="0" collapsed="false">
      <c r="A1235" s="12"/>
      <c r="B1235" s="13"/>
      <c r="C1235" s="13"/>
      <c r="D1235" s="13"/>
      <c r="E1235" s="7" t="str">
        <f aca="false">IF(D1235="","",IFERROR(INDEX(Materiali!$B:$B,MATCH(D1235,Materiali!$A:$A,0)),"codice?"))</f>
        <v/>
      </c>
      <c r="F1235" s="13"/>
      <c r="G1235" s="13"/>
      <c r="H1235" s="9" t="str">
        <f aca="false">IF(D1235="","",IFERROR(INDEX(Materiali!$C:$C,MATCH(D1235,Materiali!$A:$A,0)),0))</f>
        <v/>
      </c>
      <c r="I1235" s="9" t="str">
        <f aca="false">IF(OR(G1235="",H1235=""),"",IF(F1235="Uscita",-1,1)*G1235*H1235)</f>
        <v/>
      </c>
      <c r="J1235" s="13"/>
      <c r="K1235" s="13"/>
    </row>
    <row r="1236" customFormat="false" ht="15" hidden="false" customHeight="false" outlineLevel="0" collapsed="false">
      <c r="A1236" s="12"/>
      <c r="B1236" s="13"/>
      <c r="C1236" s="13"/>
      <c r="D1236" s="13"/>
      <c r="E1236" s="7" t="str">
        <f aca="false">IF(D1236="","",IFERROR(INDEX(Materiali!$B:$B,MATCH(D1236,Materiali!$A:$A,0)),"codice?"))</f>
        <v/>
      </c>
      <c r="F1236" s="13"/>
      <c r="G1236" s="13"/>
      <c r="H1236" s="9" t="str">
        <f aca="false">IF(D1236="","",IFERROR(INDEX(Materiali!$C:$C,MATCH(D1236,Materiali!$A:$A,0)),0))</f>
        <v/>
      </c>
      <c r="I1236" s="9" t="str">
        <f aca="false">IF(OR(G1236="",H1236=""),"",IF(F1236="Uscita",-1,1)*G1236*H1236)</f>
        <v/>
      </c>
      <c r="J1236" s="13"/>
      <c r="K1236" s="13"/>
    </row>
    <row r="1237" customFormat="false" ht="15" hidden="false" customHeight="false" outlineLevel="0" collapsed="false">
      <c r="A1237" s="12"/>
      <c r="B1237" s="13"/>
      <c r="C1237" s="13"/>
      <c r="D1237" s="13"/>
      <c r="E1237" s="7" t="str">
        <f aca="false">IF(D1237="","",IFERROR(INDEX(Materiali!$B:$B,MATCH(D1237,Materiali!$A:$A,0)),"codice?"))</f>
        <v/>
      </c>
      <c r="F1237" s="13"/>
      <c r="G1237" s="13"/>
      <c r="H1237" s="9" t="str">
        <f aca="false">IF(D1237="","",IFERROR(INDEX(Materiali!$C:$C,MATCH(D1237,Materiali!$A:$A,0)),0))</f>
        <v/>
      </c>
      <c r="I1237" s="9" t="str">
        <f aca="false">IF(OR(G1237="",H1237=""),"",IF(F1237="Uscita",-1,1)*G1237*H1237)</f>
        <v/>
      </c>
      <c r="J1237" s="13"/>
      <c r="K1237" s="13"/>
    </row>
    <row r="1238" customFormat="false" ht="15" hidden="false" customHeight="false" outlineLevel="0" collapsed="false">
      <c r="A1238" s="12"/>
      <c r="B1238" s="13"/>
      <c r="C1238" s="13"/>
      <c r="D1238" s="13"/>
      <c r="E1238" s="7" t="str">
        <f aca="false">IF(D1238="","",IFERROR(INDEX(Materiali!$B:$B,MATCH(D1238,Materiali!$A:$A,0)),"codice?"))</f>
        <v/>
      </c>
      <c r="F1238" s="13"/>
      <c r="G1238" s="13"/>
      <c r="H1238" s="9" t="str">
        <f aca="false">IF(D1238="","",IFERROR(INDEX(Materiali!$C:$C,MATCH(D1238,Materiali!$A:$A,0)),0))</f>
        <v/>
      </c>
      <c r="I1238" s="9" t="str">
        <f aca="false">IF(OR(G1238="",H1238=""),"",IF(F1238="Uscita",-1,1)*G1238*H1238)</f>
        <v/>
      </c>
      <c r="J1238" s="13"/>
      <c r="K1238" s="13"/>
    </row>
    <row r="1239" customFormat="false" ht="15" hidden="false" customHeight="false" outlineLevel="0" collapsed="false">
      <c r="A1239" s="12"/>
      <c r="B1239" s="13"/>
      <c r="C1239" s="13"/>
      <c r="D1239" s="13"/>
      <c r="E1239" s="7" t="str">
        <f aca="false">IF(D1239="","",IFERROR(INDEX(Materiali!$B:$B,MATCH(D1239,Materiali!$A:$A,0)),"codice?"))</f>
        <v/>
      </c>
      <c r="F1239" s="13"/>
      <c r="G1239" s="13"/>
      <c r="H1239" s="9" t="str">
        <f aca="false">IF(D1239="","",IFERROR(INDEX(Materiali!$C:$C,MATCH(D1239,Materiali!$A:$A,0)),0))</f>
        <v/>
      </c>
      <c r="I1239" s="9" t="str">
        <f aca="false">IF(OR(G1239="",H1239=""),"",IF(F1239="Uscita",-1,1)*G1239*H1239)</f>
        <v/>
      </c>
      <c r="J1239" s="13"/>
      <c r="K1239" s="13"/>
    </row>
    <row r="1240" customFormat="false" ht="15" hidden="false" customHeight="false" outlineLevel="0" collapsed="false">
      <c r="A1240" s="12"/>
      <c r="B1240" s="13"/>
      <c r="C1240" s="13"/>
      <c r="D1240" s="13"/>
      <c r="E1240" s="7" t="str">
        <f aca="false">IF(D1240="","",IFERROR(INDEX(Materiali!$B:$B,MATCH(D1240,Materiali!$A:$A,0)),"codice?"))</f>
        <v/>
      </c>
      <c r="F1240" s="13"/>
      <c r="G1240" s="13"/>
      <c r="H1240" s="9" t="str">
        <f aca="false">IF(D1240="","",IFERROR(INDEX(Materiali!$C:$C,MATCH(D1240,Materiali!$A:$A,0)),0))</f>
        <v/>
      </c>
      <c r="I1240" s="9" t="str">
        <f aca="false">IF(OR(G1240="",H1240=""),"",IF(F1240="Uscita",-1,1)*G1240*H1240)</f>
        <v/>
      </c>
      <c r="J1240" s="13"/>
      <c r="K1240" s="13"/>
    </row>
    <row r="1241" customFormat="false" ht="15" hidden="false" customHeight="false" outlineLevel="0" collapsed="false">
      <c r="A1241" s="12"/>
      <c r="B1241" s="13"/>
      <c r="C1241" s="13"/>
      <c r="D1241" s="13"/>
      <c r="E1241" s="7" t="str">
        <f aca="false">IF(D1241="","",IFERROR(INDEX(Materiali!$B:$B,MATCH(D1241,Materiali!$A:$A,0)),"codice?"))</f>
        <v/>
      </c>
      <c r="F1241" s="13"/>
      <c r="G1241" s="13"/>
      <c r="H1241" s="9" t="str">
        <f aca="false">IF(D1241="","",IFERROR(INDEX(Materiali!$C:$C,MATCH(D1241,Materiali!$A:$A,0)),0))</f>
        <v/>
      </c>
      <c r="I1241" s="9" t="str">
        <f aca="false">IF(OR(G1241="",H1241=""),"",IF(F1241="Uscita",-1,1)*G1241*H1241)</f>
        <v/>
      </c>
      <c r="J1241" s="13"/>
      <c r="K1241" s="13"/>
    </row>
    <row r="1242" customFormat="false" ht="15" hidden="false" customHeight="false" outlineLevel="0" collapsed="false">
      <c r="A1242" s="12"/>
      <c r="B1242" s="13"/>
      <c r="C1242" s="13"/>
      <c r="D1242" s="13"/>
      <c r="E1242" s="7" t="str">
        <f aca="false">IF(D1242="","",IFERROR(INDEX(Materiali!$B:$B,MATCH(D1242,Materiali!$A:$A,0)),"codice?"))</f>
        <v/>
      </c>
      <c r="F1242" s="13"/>
      <c r="G1242" s="13"/>
      <c r="H1242" s="9" t="str">
        <f aca="false">IF(D1242="","",IFERROR(INDEX(Materiali!$C:$C,MATCH(D1242,Materiali!$A:$A,0)),0))</f>
        <v/>
      </c>
      <c r="I1242" s="9" t="str">
        <f aca="false">IF(OR(G1242="",H1242=""),"",IF(F1242="Uscita",-1,1)*G1242*H1242)</f>
        <v/>
      </c>
      <c r="J1242" s="13"/>
      <c r="K1242" s="13"/>
    </row>
    <row r="1243" customFormat="false" ht="15" hidden="false" customHeight="false" outlineLevel="0" collapsed="false">
      <c r="A1243" s="12"/>
      <c r="B1243" s="13"/>
      <c r="C1243" s="13"/>
      <c r="D1243" s="13"/>
      <c r="E1243" s="7" t="str">
        <f aca="false">IF(D1243="","",IFERROR(INDEX(Materiali!$B:$B,MATCH(D1243,Materiali!$A:$A,0)),"codice?"))</f>
        <v/>
      </c>
      <c r="F1243" s="13"/>
      <c r="G1243" s="13"/>
      <c r="H1243" s="9" t="str">
        <f aca="false">IF(D1243="","",IFERROR(INDEX(Materiali!$C:$C,MATCH(D1243,Materiali!$A:$A,0)),0))</f>
        <v/>
      </c>
      <c r="I1243" s="9" t="str">
        <f aca="false">IF(OR(G1243="",H1243=""),"",IF(F1243="Uscita",-1,1)*G1243*H1243)</f>
        <v/>
      </c>
      <c r="J1243" s="13"/>
      <c r="K1243" s="13"/>
    </row>
    <row r="1244" customFormat="false" ht="15" hidden="false" customHeight="false" outlineLevel="0" collapsed="false">
      <c r="A1244" s="12"/>
      <c r="B1244" s="13"/>
      <c r="C1244" s="13"/>
      <c r="D1244" s="13"/>
      <c r="E1244" s="7" t="str">
        <f aca="false">IF(D1244="","",IFERROR(INDEX(Materiali!$B:$B,MATCH(D1244,Materiali!$A:$A,0)),"codice?"))</f>
        <v/>
      </c>
      <c r="F1244" s="13"/>
      <c r="G1244" s="13"/>
      <c r="H1244" s="9" t="str">
        <f aca="false">IF(D1244="","",IFERROR(INDEX(Materiali!$C:$C,MATCH(D1244,Materiali!$A:$A,0)),0))</f>
        <v/>
      </c>
      <c r="I1244" s="9" t="str">
        <f aca="false">IF(OR(G1244="",H1244=""),"",IF(F1244="Uscita",-1,1)*G1244*H1244)</f>
        <v/>
      </c>
      <c r="J1244" s="13"/>
      <c r="K1244" s="13"/>
    </row>
    <row r="1245" customFormat="false" ht="15" hidden="false" customHeight="false" outlineLevel="0" collapsed="false">
      <c r="A1245" s="12"/>
      <c r="B1245" s="13"/>
      <c r="C1245" s="13"/>
      <c r="D1245" s="13"/>
      <c r="E1245" s="7" t="str">
        <f aca="false">IF(D1245="","",IFERROR(INDEX(Materiali!$B:$B,MATCH(D1245,Materiali!$A:$A,0)),"codice?"))</f>
        <v/>
      </c>
      <c r="F1245" s="13"/>
      <c r="G1245" s="13"/>
      <c r="H1245" s="9" t="str">
        <f aca="false">IF(D1245="","",IFERROR(INDEX(Materiali!$C:$C,MATCH(D1245,Materiali!$A:$A,0)),0))</f>
        <v/>
      </c>
      <c r="I1245" s="9" t="str">
        <f aca="false">IF(OR(G1245="",H1245=""),"",IF(F1245="Uscita",-1,1)*G1245*H1245)</f>
        <v/>
      </c>
      <c r="J1245" s="13"/>
      <c r="K1245" s="13"/>
    </row>
    <row r="1246" customFormat="false" ht="15" hidden="false" customHeight="false" outlineLevel="0" collapsed="false">
      <c r="A1246" s="12"/>
      <c r="B1246" s="13"/>
      <c r="C1246" s="13"/>
      <c r="D1246" s="13"/>
      <c r="E1246" s="7" t="str">
        <f aca="false">IF(D1246="","",IFERROR(INDEX(Materiali!$B:$B,MATCH(D1246,Materiali!$A:$A,0)),"codice?"))</f>
        <v/>
      </c>
      <c r="F1246" s="13"/>
      <c r="G1246" s="13"/>
      <c r="H1246" s="9" t="str">
        <f aca="false">IF(D1246="","",IFERROR(INDEX(Materiali!$C:$C,MATCH(D1246,Materiali!$A:$A,0)),0))</f>
        <v/>
      </c>
      <c r="I1246" s="9" t="str">
        <f aca="false">IF(OR(G1246="",H1246=""),"",IF(F1246="Uscita",-1,1)*G1246*H1246)</f>
        <v/>
      </c>
      <c r="J1246" s="13"/>
      <c r="K1246" s="13"/>
    </row>
    <row r="1247" customFormat="false" ht="15" hidden="false" customHeight="false" outlineLevel="0" collapsed="false">
      <c r="A1247" s="12"/>
      <c r="B1247" s="13"/>
      <c r="C1247" s="13"/>
      <c r="D1247" s="13"/>
      <c r="E1247" s="7" t="str">
        <f aca="false">IF(D1247="","",IFERROR(INDEX(Materiali!$B:$B,MATCH(D1247,Materiali!$A:$A,0)),"codice?"))</f>
        <v/>
      </c>
      <c r="F1247" s="13"/>
      <c r="G1247" s="13"/>
      <c r="H1247" s="9" t="str">
        <f aca="false">IF(D1247="","",IFERROR(INDEX(Materiali!$C:$C,MATCH(D1247,Materiali!$A:$A,0)),0))</f>
        <v/>
      </c>
      <c r="I1247" s="9" t="str">
        <f aca="false">IF(OR(G1247="",H1247=""),"",IF(F1247="Uscita",-1,1)*G1247*H1247)</f>
        <v/>
      </c>
      <c r="J1247" s="13"/>
      <c r="K1247" s="13"/>
    </row>
    <row r="1248" customFormat="false" ht="15" hidden="false" customHeight="false" outlineLevel="0" collapsed="false">
      <c r="A1248" s="12"/>
      <c r="B1248" s="13"/>
      <c r="C1248" s="13"/>
      <c r="D1248" s="13"/>
      <c r="E1248" s="7" t="str">
        <f aca="false">IF(D1248="","",IFERROR(INDEX(Materiali!$B:$B,MATCH(D1248,Materiali!$A:$A,0)),"codice?"))</f>
        <v/>
      </c>
      <c r="F1248" s="13"/>
      <c r="G1248" s="13"/>
      <c r="H1248" s="9" t="str">
        <f aca="false">IF(D1248="","",IFERROR(INDEX(Materiali!$C:$C,MATCH(D1248,Materiali!$A:$A,0)),0))</f>
        <v/>
      </c>
      <c r="I1248" s="9" t="str">
        <f aca="false">IF(OR(G1248="",H1248=""),"",IF(F1248="Uscita",-1,1)*G1248*H1248)</f>
        <v/>
      </c>
      <c r="J1248" s="13"/>
      <c r="K1248" s="13"/>
    </row>
    <row r="1249" customFormat="false" ht="15" hidden="false" customHeight="false" outlineLevel="0" collapsed="false">
      <c r="A1249" s="12"/>
      <c r="B1249" s="13"/>
      <c r="C1249" s="13"/>
      <c r="D1249" s="13"/>
      <c r="E1249" s="7" t="str">
        <f aca="false">IF(D1249="","",IFERROR(INDEX(Materiali!$B:$B,MATCH(D1249,Materiali!$A:$A,0)),"codice?"))</f>
        <v/>
      </c>
      <c r="F1249" s="13"/>
      <c r="G1249" s="13"/>
      <c r="H1249" s="9" t="str">
        <f aca="false">IF(D1249="","",IFERROR(INDEX(Materiali!$C:$C,MATCH(D1249,Materiali!$A:$A,0)),0))</f>
        <v/>
      </c>
      <c r="I1249" s="9" t="str">
        <f aca="false">IF(OR(G1249="",H1249=""),"",IF(F1249="Uscita",-1,1)*G1249*H1249)</f>
        <v/>
      </c>
      <c r="J1249" s="13"/>
      <c r="K1249" s="13"/>
    </row>
    <row r="1250" customFormat="false" ht="15" hidden="false" customHeight="false" outlineLevel="0" collapsed="false">
      <c r="A1250" s="12"/>
      <c r="B1250" s="13"/>
      <c r="C1250" s="13"/>
      <c r="D1250" s="13"/>
      <c r="E1250" s="7" t="str">
        <f aca="false">IF(D1250="","",IFERROR(INDEX(Materiali!$B:$B,MATCH(D1250,Materiali!$A:$A,0)),"codice?"))</f>
        <v/>
      </c>
      <c r="F1250" s="13"/>
      <c r="G1250" s="13"/>
      <c r="H1250" s="9" t="str">
        <f aca="false">IF(D1250="","",IFERROR(INDEX(Materiali!$C:$C,MATCH(D1250,Materiali!$A:$A,0)),0))</f>
        <v/>
      </c>
      <c r="I1250" s="9" t="str">
        <f aca="false">IF(OR(G1250="",H1250=""),"",IF(F1250="Uscita",-1,1)*G1250*H1250)</f>
        <v/>
      </c>
      <c r="J1250" s="13"/>
      <c r="K1250" s="13"/>
    </row>
    <row r="1251" customFormat="false" ht="15" hidden="false" customHeight="false" outlineLevel="0" collapsed="false">
      <c r="A1251" s="12"/>
      <c r="B1251" s="13"/>
      <c r="C1251" s="13"/>
      <c r="D1251" s="13"/>
      <c r="E1251" s="7" t="str">
        <f aca="false">IF(D1251="","",IFERROR(INDEX(Materiali!$B:$B,MATCH(D1251,Materiali!$A:$A,0)),"codice?"))</f>
        <v/>
      </c>
      <c r="F1251" s="13"/>
      <c r="G1251" s="13"/>
      <c r="H1251" s="9" t="str">
        <f aca="false">IF(D1251="","",IFERROR(INDEX(Materiali!$C:$C,MATCH(D1251,Materiali!$A:$A,0)),0))</f>
        <v/>
      </c>
      <c r="I1251" s="9" t="str">
        <f aca="false">IF(OR(G1251="",H1251=""),"",IF(F1251="Uscita",-1,1)*G1251*H1251)</f>
        <v/>
      </c>
      <c r="J1251" s="13"/>
      <c r="K1251" s="13"/>
    </row>
    <row r="1252" customFormat="false" ht="15" hidden="false" customHeight="false" outlineLevel="0" collapsed="false">
      <c r="A1252" s="12"/>
      <c r="B1252" s="13"/>
      <c r="C1252" s="13"/>
      <c r="D1252" s="13"/>
      <c r="E1252" s="7" t="str">
        <f aca="false">IF(D1252="","",IFERROR(INDEX(Materiali!$B:$B,MATCH(D1252,Materiali!$A:$A,0)),"codice?"))</f>
        <v/>
      </c>
      <c r="F1252" s="13"/>
      <c r="G1252" s="13"/>
      <c r="H1252" s="9" t="str">
        <f aca="false">IF(D1252="","",IFERROR(INDEX(Materiali!$C:$C,MATCH(D1252,Materiali!$A:$A,0)),0))</f>
        <v/>
      </c>
      <c r="I1252" s="9" t="str">
        <f aca="false">IF(OR(G1252="",H1252=""),"",IF(F1252="Uscita",-1,1)*G1252*H1252)</f>
        <v/>
      </c>
      <c r="J1252" s="13"/>
      <c r="K1252" s="13"/>
    </row>
    <row r="1253" customFormat="false" ht="15" hidden="false" customHeight="false" outlineLevel="0" collapsed="false">
      <c r="A1253" s="12"/>
      <c r="B1253" s="13"/>
      <c r="C1253" s="13"/>
      <c r="D1253" s="13"/>
      <c r="E1253" s="7" t="str">
        <f aca="false">IF(D1253="","",IFERROR(INDEX(Materiali!$B:$B,MATCH(D1253,Materiali!$A:$A,0)),"codice?"))</f>
        <v/>
      </c>
      <c r="F1253" s="13"/>
      <c r="G1253" s="13"/>
      <c r="H1253" s="9" t="str">
        <f aca="false">IF(D1253="","",IFERROR(INDEX(Materiali!$C:$C,MATCH(D1253,Materiali!$A:$A,0)),0))</f>
        <v/>
      </c>
      <c r="I1253" s="9" t="str">
        <f aca="false">IF(OR(G1253="",H1253=""),"",IF(F1253="Uscita",-1,1)*G1253*H1253)</f>
        <v/>
      </c>
      <c r="J1253" s="13"/>
      <c r="K1253" s="13"/>
    </row>
    <row r="1254" customFormat="false" ht="15" hidden="false" customHeight="false" outlineLevel="0" collapsed="false">
      <c r="A1254" s="12"/>
      <c r="B1254" s="13"/>
      <c r="C1254" s="13"/>
      <c r="D1254" s="13"/>
      <c r="E1254" s="7" t="str">
        <f aca="false">IF(D1254="","",IFERROR(INDEX(Materiali!$B:$B,MATCH(D1254,Materiali!$A:$A,0)),"codice?"))</f>
        <v/>
      </c>
      <c r="F1254" s="13"/>
      <c r="G1254" s="13"/>
      <c r="H1254" s="9" t="str">
        <f aca="false">IF(D1254="","",IFERROR(INDEX(Materiali!$C:$C,MATCH(D1254,Materiali!$A:$A,0)),0))</f>
        <v/>
      </c>
      <c r="I1254" s="9" t="str">
        <f aca="false">IF(OR(G1254="",H1254=""),"",IF(F1254="Uscita",-1,1)*G1254*H1254)</f>
        <v/>
      </c>
      <c r="J1254" s="13"/>
      <c r="K1254" s="13"/>
    </row>
    <row r="1255" customFormat="false" ht="15" hidden="false" customHeight="false" outlineLevel="0" collapsed="false">
      <c r="A1255" s="12"/>
      <c r="B1255" s="13"/>
      <c r="C1255" s="13"/>
      <c r="D1255" s="13"/>
      <c r="E1255" s="7" t="str">
        <f aca="false">IF(D1255="","",IFERROR(INDEX(Materiali!$B:$B,MATCH(D1255,Materiali!$A:$A,0)),"codice?"))</f>
        <v/>
      </c>
      <c r="F1255" s="13"/>
      <c r="G1255" s="13"/>
      <c r="H1255" s="9" t="str">
        <f aca="false">IF(D1255="","",IFERROR(INDEX(Materiali!$C:$C,MATCH(D1255,Materiali!$A:$A,0)),0))</f>
        <v/>
      </c>
      <c r="I1255" s="9" t="str">
        <f aca="false">IF(OR(G1255="",H1255=""),"",IF(F1255="Uscita",-1,1)*G1255*H1255)</f>
        <v/>
      </c>
      <c r="J1255" s="13"/>
      <c r="K1255" s="13"/>
    </row>
    <row r="1256" customFormat="false" ht="15" hidden="false" customHeight="false" outlineLevel="0" collapsed="false">
      <c r="A1256" s="12"/>
      <c r="B1256" s="13"/>
      <c r="C1256" s="13"/>
      <c r="D1256" s="13"/>
      <c r="E1256" s="7" t="str">
        <f aca="false">IF(D1256="","",IFERROR(INDEX(Materiali!$B:$B,MATCH(D1256,Materiali!$A:$A,0)),"codice?"))</f>
        <v/>
      </c>
      <c r="F1256" s="13"/>
      <c r="G1256" s="13"/>
      <c r="H1256" s="9" t="str">
        <f aca="false">IF(D1256="","",IFERROR(INDEX(Materiali!$C:$C,MATCH(D1256,Materiali!$A:$A,0)),0))</f>
        <v/>
      </c>
      <c r="I1256" s="9" t="str">
        <f aca="false">IF(OR(G1256="",H1256=""),"",IF(F1256="Uscita",-1,1)*G1256*H1256)</f>
        <v/>
      </c>
      <c r="J1256" s="13"/>
      <c r="K1256" s="13"/>
    </row>
    <row r="1257" customFormat="false" ht="15" hidden="false" customHeight="false" outlineLevel="0" collapsed="false">
      <c r="A1257" s="12"/>
      <c r="B1257" s="13"/>
      <c r="C1257" s="13"/>
      <c r="D1257" s="13"/>
      <c r="E1257" s="7" t="str">
        <f aca="false">IF(D1257="","",IFERROR(INDEX(Materiali!$B:$B,MATCH(D1257,Materiali!$A:$A,0)),"codice?"))</f>
        <v/>
      </c>
      <c r="F1257" s="13"/>
      <c r="G1257" s="13"/>
      <c r="H1257" s="9" t="str">
        <f aca="false">IF(D1257="","",IFERROR(INDEX(Materiali!$C:$C,MATCH(D1257,Materiali!$A:$A,0)),0))</f>
        <v/>
      </c>
      <c r="I1257" s="9" t="str">
        <f aca="false">IF(OR(G1257="",H1257=""),"",IF(F1257="Uscita",-1,1)*G1257*H1257)</f>
        <v/>
      </c>
      <c r="J1257" s="13"/>
      <c r="K1257" s="13"/>
    </row>
    <row r="1258" customFormat="false" ht="15" hidden="false" customHeight="false" outlineLevel="0" collapsed="false">
      <c r="A1258" s="12"/>
      <c r="B1258" s="13"/>
      <c r="C1258" s="13"/>
      <c r="D1258" s="13"/>
      <c r="E1258" s="7" t="str">
        <f aca="false">IF(D1258="","",IFERROR(INDEX(Materiali!$B:$B,MATCH(D1258,Materiali!$A:$A,0)),"codice?"))</f>
        <v/>
      </c>
      <c r="F1258" s="13"/>
      <c r="G1258" s="13"/>
      <c r="H1258" s="9" t="str">
        <f aca="false">IF(D1258="","",IFERROR(INDEX(Materiali!$C:$C,MATCH(D1258,Materiali!$A:$A,0)),0))</f>
        <v/>
      </c>
      <c r="I1258" s="9" t="str">
        <f aca="false">IF(OR(G1258="",H1258=""),"",IF(F1258="Uscita",-1,1)*G1258*H1258)</f>
        <v/>
      </c>
      <c r="J1258" s="13"/>
      <c r="K1258" s="13"/>
    </row>
    <row r="1259" customFormat="false" ht="15" hidden="false" customHeight="false" outlineLevel="0" collapsed="false">
      <c r="A1259" s="12"/>
      <c r="B1259" s="13"/>
      <c r="C1259" s="13"/>
      <c r="D1259" s="13"/>
      <c r="E1259" s="7" t="str">
        <f aca="false">IF(D1259="","",IFERROR(INDEX(Materiali!$B:$B,MATCH(D1259,Materiali!$A:$A,0)),"codice?"))</f>
        <v/>
      </c>
      <c r="F1259" s="13"/>
      <c r="G1259" s="13"/>
      <c r="H1259" s="9" t="str">
        <f aca="false">IF(D1259="","",IFERROR(INDEX(Materiali!$C:$C,MATCH(D1259,Materiali!$A:$A,0)),0))</f>
        <v/>
      </c>
      <c r="I1259" s="9" t="str">
        <f aca="false">IF(OR(G1259="",H1259=""),"",IF(F1259="Uscita",-1,1)*G1259*H1259)</f>
        <v/>
      </c>
      <c r="J1259" s="13"/>
      <c r="K1259" s="13"/>
    </row>
    <row r="1260" customFormat="false" ht="15" hidden="false" customHeight="false" outlineLevel="0" collapsed="false">
      <c r="A1260" s="12"/>
      <c r="B1260" s="13"/>
      <c r="C1260" s="13"/>
      <c r="D1260" s="13"/>
      <c r="E1260" s="7" t="str">
        <f aca="false">IF(D1260="","",IFERROR(INDEX(Materiali!$B:$B,MATCH(D1260,Materiali!$A:$A,0)),"codice?"))</f>
        <v/>
      </c>
      <c r="F1260" s="13"/>
      <c r="G1260" s="13"/>
      <c r="H1260" s="9" t="str">
        <f aca="false">IF(D1260="","",IFERROR(INDEX(Materiali!$C:$C,MATCH(D1260,Materiali!$A:$A,0)),0))</f>
        <v/>
      </c>
      <c r="I1260" s="9" t="str">
        <f aca="false">IF(OR(G1260="",H1260=""),"",IF(F1260="Uscita",-1,1)*G1260*H1260)</f>
        <v/>
      </c>
      <c r="J1260" s="13"/>
      <c r="K1260" s="13"/>
    </row>
    <row r="1261" customFormat="false" ht="15" hidden="false" customHeight="false" outlineLevel="0" collapsed="false">
      <c r="A1261" s="12"/>
      <c r="B1261" s="13"/>
      <c r="C1261" s="13"/>
      <c r="D1261" s="13"/>
      <c r="E1261" s="7" t="str">
        <f aca="false">IF(D1261="","",IFERROR(INDEX(Materiali!$B:$B,MATCH(D1261,Materiali!$A:$A,0)),"codice?"))</f>
        <v/>
      </c>
      <c r="F1261" s="13"/>
      <c r="G1261" s="13"/>
      <c r="H1261" s="9" t="str">
        <f aca="false">IF(D1261="","",IFERROR(INDEX(Materiali!$C:$C,MATCH(D1261,Materiali!$A:$A,0)),0))</f>
        <v/>
      </c>
      <c r="I1261" s="9" t="str">
        <f aca="false">IF(OR(G1261="",H1261=""),"",IF(F1261="Uscita",-1,1)*G1261*H1261)</f>
        <v/>
      </c>
      <c r="J1261" s="13"/>
      <c r="K1261" s="13"/>
    </row>
    <row r="1262" customFormat="false" ht="15" hidden="false" customHeight="false" outlineLevel="0" collapsed="false">
      <c r="A1262" s="12"/>
      <c r="B1262" s="13"/>
      <c r="C1262" s="13"/>
      <c r="D1262" s="13"/>
      <c r="E1262" s="7" t="str">
        <f aca="false">IF(D1262="","",IFERROR(INDEX(Materiali!$B:$B,MATCH(D1262,Materiali!$A:$A,0)),"codice?"))</f>
        <v/>
      </c>
      <c r="F1262" s="13"/>
      <c r="G1262" s="13"/>
      <c r="H1262" s="9" t="str">
        <f aca="false">IF(D1262="","",IFERROR(INDEX(Materiali!$C:$C,MATCH(D1262,Materiali!$A:$A,0)),0))</f>
        <v/>
      </c>
      <c r="I1262" s="9" t="str">
        <f aca="false">IF(OR(G1262="",H1262=""),"",IF(F1262="Uscita",-1,1)*G1262*H1262)</f>
        <v/>
      </c>
      <c r="J1262" s="13"/>
      <c r="K1262" s="13"/>
    </row>
    <row r="1263" customFormat="false" ht="15" hidden="false" customHeight="false" outlineLevel="0" collapsed="false">
      <c r="A1263" s="12"/>
      <c r="B1263" s="13"/>
      <c r="C1263" s="13"/>
      <c r="D1263" s="13"/>
      <c r="E1263" s="7" t="str">
        <f aca="false">IF(D1263="","",IFERROR(INDEX(Materiali!$B:$B,MATCH(D1263,Materiali!$A:$A,0)),"codice?"))</f>
        <v/>
      </c>
      <c r="F1263" s="13"/>
      <c r="G1263" s="13"/>
      <c r="H1263" s="9" t="str">
        <f aca="false">IF(D1263="","",IFERROR(INDEX(Materiali!$C:$C,MATCH(D1263,Materiali!$A:$A,0)),0))</f>
        <v/>
      </c>
      <c r="I1263" s="9" t="str">
        <f aca="false">IF(OR(G1263="",H1263=""),"",IF(F1263="Uscita",-1,1)*G1263*H1263)</f>
        <v/>
      </c>
      <c r="J1263" s="13"/>
      <c r="K1263" s="13"/>
    </row>
    <row r="1264" customFormat="false" ht="15" hidden="false" customHeight="false" outlineLevel="0" collapsed="false">
      <c r="A1264" s="12"/>
      <c r="B1264" s="13"/>
      <c r="C1264" s="13"/>
      <c r="D1264" s="13"/>
      <c r="E1264" s="7" t="str">
        <f aca="false">IF(D1264="","",IFERROR(INDEX(Materiali!$B:$B,MATCH(D1264,Materiali!$A:$A,0)),"codice?"))</f>
        <v/>
      </c>
      <c r="F1264" s="13"/>
      <c r="G1264" s="13"/>
      <c r="H1264" s="9" t="str">
        <f aca="false">IF(D1264="","",IFERROR(INDEX(Materiali!$C:$C,MATCH(D1264,Materiali!$A:$A,0)),0))</f>
        <v/>
      </c>
      <c r="I1264" s="9" t="str">
        <f aca="false">IF(OR(G1264="",H1264=""),"",IF(F1264="Uscita",-1,1)*G1264*H1264)</f>
        <v/>
      </c>
      <c r="J1264" s="13"/>
      <c r="K1264" s="13"/>
    </row>
    <row r="1265" customFormat="false" ht="15" hidden="false" customHeight="false" outlineLevel="0" collapsed="false">
      <c r="A1265" s="12"/>
      <c r="B1265" s="13"/>
      <c r="C1265" s="13"/>
      <c r="D1265" s="13"/>
      <c r="E1265" s="7" t="str">
        <f aca="false">IF(D1265="","",IFERROR(INDEX(Materiali!$B:$B,MATCH(D1265,Materiali!$A:$A,0)),"codice?"))</f>
        <v/>
      </c>
      <c r="F1265" s="13"/>
      <c r="G1265" s="13"/>
      <c r="H1265" s="9" t="str">
        <f aca="false">IF(D1265="","",IFERROR(INDEX(Materiali!$C:$C,MATCH(D1265,Materiali!$A:$A,0)),0))</f>
        <v/>
      </c>
      <c r="I1265" s="9" t="str">
        <f aca="false">IF(OR(G1265="",H1265=""),"",IF(F1265="Uscita",-1,1)*G1265*H1265)</f>
        <v/>
      </c>
      <c r="J1265" s="13"/>
      <c r="K1265" s="13"/>
    </row>
    <row r="1266" customFormat="false" ht="15" hidden="false" customHeight="false" outlineLevel="0" collapsed="false">
      <c r="A1266" s="12"/>
      <c r="B1266" s="13"/>
      <c r="C1266" s="13"/>
      <c r="D1266" s="13"/>
      <c r="E1266" s="7" t="str">
        <f aca="false">IF(D1266="","",IFERROR(INDEX(Materiali!$B:$B,MATCH(D1266,Materiali!$A:$A,0)),"codice?"))</f>
        <v/>
      </c>
      <c r="F1266" s="13"/>
      <c r="G1266" s="13"/>
      <c r="H1266" s="9" t="str">
        <f aca="false">IF(D1266="","",IFERROR(INDEX(Materiali!$C:$C,MATCH(D1266,Materiali!$A:$A,0)),0))</f>
        <v/>
      </c>
      <c r="I1266" s="9" t="str">
        <f aca="false">IF(OR(G1266="",H1266=""),"",IF(F1266="Uscita",-1,1)*G1266*H1266)</f>
        <v/>
      </c>
      <c r="J1266" s="13"/>
      <c r="K1266" s="13"/>
    </row>
    <row r="1267" customFormat="false" ht="15" hidden="false" customHeight="false" outlineLevel="0" collapsed="false">
      <c r="A1267" s="12"/>
      <c r="B1267" s="13"/>
      <c r="C1267" s="13"/>
      <c r="D1267" s="13"/>
      <c r="E1267" s="7" t="str">
        <f aca="false">IF(D1267="","",IFERROR(INDEX(Materiali!$B:$B,MATCH(D1267,Materiali!$A:$A,0)),"codice?"))</f>
        <v/>
      </c>
      <c r="F1267" s="13"/>
      <c r="G1267" s="13"/>
      <c r="H1267" s="9" t="str">
        <f aca="false">IF(D1267="","",IFERROR(INDEX(Materiali!$C:$C,MATCH(D1267,Materiali!$A:$A,0)),0))</f>
        <v/>
      </c>
      <c r="I1267" s="9" t="str">
        <f aca="false">IF(OR(G1267="",H1267=""),"",IF(F1267="Uscita",-1,1)*G1267*H1267)</f>
        <v/>
      </c>
      <c r="J1267" s="13"/>
      <c r="K1267" s="13"/>
    </row>
    <row r="1268" customFormat="false" ht="15" hidden="false" customHeight="false" outlineLevel="0" collapsed="false">
      <c r="A1268" s="12"/>
      <c r="B1268" s="13"/>
      <c r="C1268" s="13"/>
      <c r="D1268" s="13"/>
      <c r="E1268" s="7" t="str">
        <f aca="false">IF(D1268="","",IFERROR(INDEX(Materiali!$B:$B,MATCH(D1268,Materiali!$A:$A,0)),"codice?"))</f>
        <v/>
      </c>
      <c r="F1268" s="13"/>
      <c r="G1268" s="13"/>
      <c r="H1268" s="9" t="str">
        <f aca="false">IF(D1268="","",IFERROR(INDEX(Materiali!$C:$C,MATCH(D1268,Materiali!$A:$A,0)),0))</f>
        <v/>
      </c>
      <c r="I1268" s="9" t="str">
        <f aca="false">IF(OR(G1268="",H1268=""),"",IF(F1268="Uscita",-1,1)*G1268*H1268)</f>
        <v/>
      </c>
      <c r="J1268" s="13"/>
      <c r="K1268" s="13"/>
    </row>
    <row r="1269" customFormat="false" ht="15" hidden="false" customHeight="false" outlineLevel="0" collapsed="false">
      <c r="A1269" s="12"/>
      <c r="B1269" s="13"/>
      <c r="C1269" s="13"/>
      <c r="D1269" s="13"/>
      <c r="E1269" s="7" t="str">
        <f aca="false">IF(D1269="","",IFERROR(INDEX(Materiali!$B:$B,MATCH(D1269,Materiali!$A:$A,0)),"codice?"))</f>
        <v/>
      </c>
      <c r="F1269" s="13"/>
      <c r="G1269" s="13"/>
      <c r="H1269" s="9" t="str">
        <f aca="false">IF(D1269="","",IFERROR(INDEX(Materiali!$C:$C,MATCH(D1269,Materiali!$A:$A,0)),0))</f>
        <v/>
      </c>
      <c r="I1269" s="9" t="str">
        <f aca="false">IF(OR(G1269="",H1269=""),"",IF(F1269="Uscita",-1,1)*G1269*H1269)</f>
        <v/>
      </c>
      <c r="J1269" s="13"/>
      <c r="K1269" s="13"/>
    </row>
    <row r="1270" customFormat="false" ht="15" hidden="false" customHeight="false" outlineLevel="0" collapsed="false">
      <c r="A1270" s="12"/>
      <c r="B1270" s="13"/>
      <c r="C1270" s="13"/>
      <c r="D1270" s="13"/>
      <c r="E1270" s="7" t="str">
        <f aca="false">IF(D1270="","",IFERROR(INDEX(Materiali!$B:$B,MATCH(D1270,Materiali!$A:$A,0)),"codice?"))</f>
        <v/>
      </c>
      <c r="F1270" s="13"/>
      <c r="G1270" s="13"/>
      <c r="H1270" s="9" t="str">
        <f aca="false">IF(D1270="","",IFERROR(INDEX(Materiali!$C:$C,MATCH(D1270,Materiali!$A:$A,0)),0))</f>
        <v/>
      </c>
      <c r="I1270" s="9" t="str">
        <f aca="false">IF(OR(G1270="",H1270=""),"",IF(F1270="Uscita",-1,1)*G1270*H1270)</f>
        <v/>
      </c>
      <c r="J1270" s="13"/>
      <c r="K1270" s="13"/>
    </row>
    <row r="1271" customFormat="false" ht="15" hidden="false" customHeight="false" outlineLevel="0" collapsed="false">
      <c r="A1271" s="12"/>
      <c r="B1271" s="13"/>
      <c r="C1271" s="13"/>
      <c r="D1271" s="13"/>
      <c r="E1271" s="7" t="str">
        <f aca="false">IF(D1271="","",IFERROR(INDEX(Materiali!$B:$B,MATCH(D1271,Materiali!$A:$A,0)),"codice?"))</f>
        <v/>
      </c>
      <c r="F1271" s="13"/>
      <c r="G1271" s="13"/>
      <c r="H1271" s="9" t="str">
        <f aca="false">IF(D1271="","",IFERROR(INDEX(Materiali!$C:$C,MATCH(D1271,Materiali!$A:$A,0)),0))</f>
        <v/>
      </c>
      <c r="I1271" s="9" t="str">
        <f aca="false">IF(OR(G1271="",H1271=""),"",IF(F1271="Uscita",-1,1)*G1271*H1271)</f>
        <v/>
      </c>
      <c r="J1271" s="13"/>
      <c r="K1271" s="13"/>
    </row>
    <row r="1272" customFormat="false" ht="15" hidden="false" customHeight="false" outlineLevel="0" collapsed="false">
      <c r="A1272" s="12"/>
      <c r="B1272" s="13"/>
      <c r="C1272" s="13"/>
      <c r="D1272" s="13"/>
      <c r="E1272" s="7" t="str">
        <f aca="false">IF(D1272="","",IFERROR(INDEX(Materiali!$B:$B,MATCH(D1272,Materiali!$A:$A,0)),"codice?"))</f>
        <v/>
      </c>
      <c r="F1272" s="13"/>
      <c r="G1272" s="13"/>
      <c r="H1272" s="9" t="str">
        <f aca="false">IF(D1272="","",IFERROR(INDEX(Materiali!$C:$C,MATCH(D1272,Materiali!$A:$A,0)),0))</f>
        <v/>
      </c>
      <c r="I1272" s="9" t="str">
        <f aca="false">IF(OR(G1272="",H1272=""),"",IF(F1272="Uscita",-1,1)*G1272*H1272)</f>
        <v/>
      </c>
      <c r="J1272" s="13"/>
      <c r="K1272" s="13"/>
    </row>
    <row r="1273" customFormat="false" ht="15" hidden="false" customHeight="false" outlineLevel="0" collapsed="false">
      <c r="A1273" s="12"/>
      <c r="B1273" s="13"/>
      <c r="C1273" s="13"/>
      <c r="D1273" s="13"/>
      <c r="E1273" s="7" t="str">
        <f aca="false">IF(D1273="","",IFERROR(INDEX(Materiali!$B:$B,MATCH(D1273,Materiali!$A:$A,0)),"codice?"))</f>
        <v/>
      </c>
      <c r="F1273" s="13"/>
      <c r="G1273" s="13"/>
      <c r="H1273" s="9" t="str">
        <f aca="false">IF(D1273="","",IFERROR(INDEX(Materiali!$C:$C,MATCH(D1273,Materiali!$A:$A,0)),0))</f>
        <v/>
      </c>
      <c r="I1273" s="9" t="str">
        <f aca="false">IF(OR(G1273="",H1273=""),"",IF(F1273="Uscita",-1,1)*G1273*H1273)</f>
        <v/>
      </c>
      <c r="J1273" s="13"/>
      <c r="K1273" s="13"/>
    </row>
    <row r="1274" customFormat="false" ht="15" hidden="false" customHeight="false" outlineLevel="0" collapsed="false">
      <c r="A1274" s="12"/>
      <c r="B1274" s="13"/>
      <c r="C1274" s="13"/>
      <c r="D1274" s="13"/>
      <c r="E1274" s="7" t="str">
        <f aca="false">IF(D1274="","",IFERROR(INDEX(Materiali!$B:$B,MATCH(D1274,Materiali!$A:$A,0)),"codice?"))</f>
        <v/>
      </c>
      <c r="F1274" s="13"/>
      <c r="G1274" s="13"/>
      <c r="H1274" s="9" t="str">
        <f aca="false">IF(D1274="","",IFERROR(INDEX(Materiali!$C:$C,MATCH(D1274,Materiali!$A:$A,0)),0))</f>
        <v/>
      </c>
      <c r="I1274" s="9" t="str">
        <f aca="false">IF(OR(G1274="",H1274=""),"",IF(F1274="Uscita",-1,1)*G1274*H1274)</f>
        <v/>
      </c>
      <c r="J1274" s="13"/>
      <c r="K1274" s="13"/>
    </row>
    <row r="1275" customFormat="false" ht="15" hidden="false" customHeight="false" outlineLevel="0" collapsed="false">
      <c r="A1275" s="12"/>
      <c r="B1275" s="13"/>
      <c r="C1275" s="13"/>
      <c r="D1275" s="13"/>
      <c r="E1275" s="7" t="str">
        <f aca="false">IF(D1275="","",IFERROR(INDEX(Materiali!$B:$B,MATCH(D1275,Materiali!$A:$A,0)),"codice?"))</f>
        <v/>
      </c>
      <c r="F1275" s="13"/>
      <c r="G1275" s="13"/>
      <c r="H1275" s="9" t="str">
        <f aca="false">IF(D1275="","",IFERROR(INDEX(Materiali!$C:$C,MATCH(D1275,Materiali!$A:$A,0)),0))</f>
        <v/>
      </c>
      <c r="I1275" s="9" t="str">
        <f aca="false">IF(OR(G1275="",H1275=""),"",IF(F1275="Uscita",-1,1)*G1275*H1275)</f>
        <v/>
      </c>
      <c r="J1275" s="13"/>
      <c r="K1275" s="13"/>
    </row>
    <row r="1276" customFormat="false" ht="15" hidden="false" customHeight="false" outlineLevel="0" collapsed="false">
      <c r="A1276" s="12"/>
      <c r="B1276" s="13"/>
      <c r="C1276" s="13"/>
      <c r="D1276" s="13"/>
      <c r="E1276" s="7" t="str">
        <f aca="false">IF(D1276="","",IFERROR(INDEX(Materiali!$B:$B,MATCH(D1276,Materiali!$A:$A,0)),"codice?"))</f>
        <v/>
      </c>
      <c r="F1276" s="13"/>
      <c r="G1276" s="13"/>
      <c r="H1276" s="9" t="str">
        <f aca="false">IF(D1276="","",IFERROR(INDEX(Materiali!$C:$C,MATCH(D1276,Materiali!$A:$A,0)),0))</f>
        <v/>
      </c>
      <c r="I1276" s="9" t="str">
        <f aca="false">IF(OR(G1276="",H1276=""),"",IF(F1276="Uscita",-1,1)*G1276*H1276)</f>
        <v/>
      </c>
      <c r="J1276" s="13"/>
      <c r="K1276" s="13"/>
    </row>
    <row r="1277" customFormat="false" ht="15" hidden="false" customHeight="false" outlineLevel="0" collapsed="false">
      <c r="A1277" s="12"/>
      <c r="B1277" s="13"/>
      <c r="C1277" s="13"/>
      <c r="D1277" s="13"/>
      <c r="E1277" s="7" t="str">
        <f aca="false">IF(D1277="","",IFERROR(INDEX(Materiali!$B:$B,MATCH(D1277,Materiali!$A:$A,0)),"codice?"))</f>
        <v/>
      </c>
      <c r="F1277" s="13"/>
      <c r="G1277" s="13"/>
      <c r="H1277" s="9" t="str">
        <f aca="false">IF(D1277="","",IFERROR(INDEX(Materiali!$C:$C,MATCH(D1277,Materiali!$A:$A,0)),0))</f>
        <v/>
      </c>
      <c r="I1277" s="9" t="str">
        <f aca="false">IF(OR(G1277="",H1277=""),"",IF(F1277="Uscita",-1,1)*G1277*H1277)</f>
        <v/>
      </c>
      <c r="J1277" s="13"/>
      <c r="K1277" s="13"/>
    </row>
    <row r="1278" customFormat="false" ht="15" hidden="false" customHeight="false" outlineLevel="0" collapsed="false">
      <c r="A1278" s="12"/>
      <c r="B1278" s="13"/>
      <c r="C1278" s="13"/>
      <c r="D1278" s="13"/>
      <c r="E1278" s="7" t="str">
        <f aca="false">IF(D1278="","",IFERROR(INDEX(Materiali!$B:$B,MATCH(D1278,Materiali!$A:$A,0)),"codice?"))</f>
        <v/>
      </c>
      <c r="F1278" s="13"/>
      <c r="G1278" s="13"/>
      <c r="H1278" s="9" t="str">
        <f aca="false">IF(D1278="","",IFERROR(INDEX(Materiali!$C:$C,MATCH(D1278,Materiali!$A:$A,0)),0))</f>
        <v/>
      </c>
      <c r="I1278" s="9" t="str">
        <f aca="false">IF(OR(G1278="",H1278=""),"",IF(F1278="Uscita",-1,1)*G1278*H1278)</f>
        <v/>
      </c>
      <c r="J1278" s="13"/>
      <c r="K1278" s="13"/>
    </row>
    <row r="1279" customFormat="false" ht="15" hidden="false" customHeight="false" outlineLevel="0" collapsed="false">
      <c r="A1279" s="12"/>
      <c r="B1279" s="13"/>
      <c r="C1279" s="13"/>
      <c r="D1279" s="13"/>
      <c r="E1279" s="7" t="str">
        <f aca="false">IF(D1279="","",IFERROR(INDEX(Materiali!$B:$B,MATCH(D1279,Materiali!$A:$A,0)),"codice?"))</f>
        <v/>
      </c>
      <c r="F1279" s="13"/>
      <c r="G1279" s="13"/>
      <c r="H1279" s="9" t="str">
        <f aca="false">IF(D1279="","",IFERROR(INDEX(Materiali!$C:$C,MATCH(D1279,Materiali!$A:$A,0)),0))</f>
        <v/>
      </c>
      <c r="I1279" s="9" t="str">
        <f aca="false">IF(OR(G1279="",H1279=""),"",IF(F1279="Uscita",-1,1)*G1279*H1279)</f>
        <v/>
      </c>
      <c r="J1279" s="13"/>
      <c r="K1279" s="13"/>
    </row>
    <row r="1280" customFormat="false" ht="15" hidden="false" customHeight="false" outlineLevel="0" collapsed="false">
      <c r="A1280" s="12"/>
      <c r="B1280" s="13"/>
      <c r="C1280" s="13"/>
      <c r="D1280" s="13"/>
      <c r="E1280" s="7" t="str">
        <f aca="false">IF(D1280="","",IFERROR(INDEX(Materiali!$B:$B,MATCH(D1280,Materiali!$A:$A,0)),"codice?"))</f>
        <v/>
      </c>
      <c r="F1280" s="13"/>
      <c r="G1280" s="13"/>
      <c r="H1280" s="9" t="str">
        <f aca="false">IF(D1280="","",IFERROR(INDEX(Materiali!$C:$C,MATCH(D1280,Materiali!$A:$A,0)),0))</f>
        <v/>
      </c>
      <c r="I1280" s="9" t="str">
        <f aca="false">IF(OR(G1280="",H1280=""),"",IF(F1280="Uscita",-1,1)*G1280*H1280)</f>
        <v/>
      </c>
      <c r="J1280" s="13"/>
      <c r="K1280" s="13"/>
    </row>
    <row r="1281" customFormat="false" ht="15" hidden="false" customHeight="false" outlineLevel="0" collapsed="false">
      <c r="A1281" s="12"/>
      <c r="B1281" s="13"/>
      <c r="C1281" s="13"/>
      <c r="D1281" s="13"/>
      <c r="E1281" s="7" t="str">
        <f aca="false">IF(D1281="","",IFERROR(INDEX(Materiali!$B:$B,MATCH(D1281,Materiali!$A:$A,0)),"codice?"))</f>
        <v/>
      </c>
      <c r="F1281" s="13"/>
      <c r="G1281" s="13"/>
      <c r="H1281" s="9" t="str">
        <f aca="false">IF(D1281="","",IFERROR(INDEX(Materiali!$C:$C,MATCH(D1281,Materiali!$A:$A,0)),0))</f>
        <v/>
      </c>
      <c r="I1281" s="9" t="str">
        <f aca="false">IF(OR(G1281="",H1281=""),"",IF(F1281="Uscita",-1,1)*G1281*H1281)</f>
        <v/>
      </c>
      <c r="J1281" s="13"/>
      <c r="K1281" s="13"/>
    </row>
    <row r="1282" customFormat="false" ht="15" hidden="false" customHeight="false" outlineLevel="0" collapsed="false">
      <c r="A1282" s="12"/>
      <c r="B1282" s="13"/>
      <c r="C1282" s="13"/>
      <c r="D1282" s="13"/>
      <c r="E1282" s="7" t="str">
        <f aca="false">IF(D1282="","",IFERROR(INDEX(Materiali!$B:$B,MATCH(D1282,Materiali!$A:$A,0)),"codice?"))</f>
        <v/>
      </c>
      <c r="F1282" s="13"/>
      <c r="G1282" s="13"/>
      <c r="H1282" s="9" t="str">
        <f aca="false">IF(D1282="","",IFERROR(INDEX(Materiali!$C:$C,MATCH(D1282,Materiali!$A:$A,0)),0))</f>
        <v/>
      </c>
      <c r="I1282" s="9" t="str">
        <f aca="false">IF(OR(G1282="",H1282=""),"",IF(F1282="Uscita",-1,1)*G1282*H1282)</f>
        <v/>
      </c>
      <c r="J1282" s="13"/>
      <c r="K1282" s="13"/>
    </row>
    <row r="1283" customFormat="false" ht="15" hidden="false" customHeight="false" outlineLevel="0" collapsed="false">
      <c r="A1283" s="12"/>
      <c r="B1283" s="13"/>
      <c r="C1283" s="13"/>
      <c r="D1283" s="13"/>
      <c r="E1283" s="7" t="str">
        <f aca="false">IF(D1283="","",IFERROR(INDEX(Materiali!$B:$B,MATCH(D1283,Materiali!$A:$A,0)),"codice?"))</f>
        <v/>
      </c>
      <c r="F1283" s="13"/>
      <c r="G1283" s="13"/>
      <c r="H1283" s="9" t="str">
        <f aca="false">IF(D1283="","",IFERROR(INDEX(Materiali!$C:$C,MATCH(D1283,Materiali!$A:$A,0)),0))</f>
        <v/>
      </c>
      <c r="I1283" s="9" t="str">
        <f aca="false">IF(OR(G1283="",H1283=""),"",IF(F1283="Uscita",-1,1)*G1283*H1283)</f>
        <v/>
      </c>
      <c r="J1283" s="13"/>
      <c r="K1283" s="13"/>
    </row>
    <row r="1284" customFormat="false" ht="15" hidden="false" customHeight="false" outlineLevel="0" collapsed="false">
      <c r="A1284" s="12"/>
      <c r="B1284" s="13"/>
      <c r="C1284" s="13"/>
      <c r="D1284" s="13"/>
      <c r="E1284" s="7" t="str">
        <f aca="false">IF(D1284="","",IFERROR(INDEX(Materiali!$B:$B,MATCH(D1284,Materiali!$A:$A,0)),"codice?"))</f>
        <v/>
      </c>
      <c r="F1284" s="13"/>
      <c r="G1284" s="13"/>
      <c r="H1284" s="9" t="str">
        <f aca="false">IF(D1284="","",IFERROR(INDEX(Materiali!$C:$C,MATCH(D1284,Materiali!$A:$A,0)),0))</f>
        <v/>
      </c>
      <c r="I1284" s="9" t="str">
        <f aca="false">IF(OR(G1284="",H1284=""),"",IF(F1284="Uscita",-1,1)*G1284*H1284)</f>
        <v/>
      </c>
      <c r="J1284" s="13"/>
      <c r="K1284" s="13"/>
    </row>
    <row r="1285" customFormat="false" ht="15" hidden="false" customHeight="false" outlineLevel="0" collapsed="false">
      <c r="A1285" s="12"/>
      <c r="B1285" s="13"/>
      <c r="C1285" s="13"/>
      <c r="D1285" s="13"/>
      <c r="E1285" s="7" t="str">
        <f aca="false">IF(D1285="","",IFERROR(INDEX(Materiali!$B:$B,MATCH(D1285,Materiali!$A:$A,0)),"codice?"))</f>
        <v/>
      </c>
      <c r="F1285" s="13"/>
      <c r="G1285" s="13"/>
      <c r="H1285" s="9" t="str">
        <f aca="false">IF(D1285="","",IFERROR(INDEX(Materiali!$C:$C,MATCH(D1285,Materiali!$A:$A,0)),0))</f>
        <v/>
      </c>
      <c r="I1285" s="9" t="str">
        <f aca="false">IF(OR(G1285="",H1285=""),"",IF(F1285="Uscita",-1,1)*G1285*H1285)</f>
        <v/>
      </c>
      <c r="J1285" s="13"/>
      <c r="K1285" s="13"/>
    </row>
    <row r="1286" customFormat="false" ht="15" hidden="false" customHeight="false" outlineLevel="0" collapsed="false">
      <c r="A1286" s="12"/>
      <c r="B1286" s="13"/>
      <c r="C1286" s="13"/>
      <c r="D1286" s="13"/>
      <c r="E1286" s="7" t="str">
        <f aca="false">IF(D1286="","",IFERROR(INDEX(Materiali!$B:$B,MATCH(D1286,Materiali!$A:$A,0)),"codice?"))</f>
        <v/>
      </c>
      <c r="F1286" s="13"/>
      <c r="G1286" s="13"/>
      <c r="H1286" s="9" t="str">
        <f aca="false">IF(D1286="","",IFERROR(INDEX(Materiali!$C:$C,MATCH(D1286,Materiali!$A:$A,0)),0))</f>
        <v/>
      </c>
      <c r="I1286" s="9" t="str">
        <f aca="false">IF(OR(G1286="",H1286=""),"",IF(F1286="Uscita",-1,1)*G1286*H1286)</f>
        <v/>
      </c>
      <c r="J1286" s="13"/>
      <c r="K1286" s="13"/>
    </row>
    <row r="1287" customFormat="false" ht="15" hidden="false" customHeight="false" outlineLevel="0" collapsed="false">
      <c r="A1287" s="12"/>
      <c r="B1287" s="13"/>
      <c r="C1287" s="13"/>
      <c r="D1287" s="13"/>
      <c r="E1287" s="7" t="str">
        <f aca="false">IF(D1287="","",IFERROR(INDEX(Materiali!$B:$B,MATCH(D1287,Materiali!$A:$A,0)),"codice?"))</f>
        <v/>
      </c>
      <c r="F1287" s="13"/>
      <c r="G1287" s="13"/>
      <c r="H1287" s="9" t="str">
        <f aca="false">IF(D1287="","",IFERROR(INDEX(Materiali!$C:$C,MATCH(D1287,Materiali!$A:$A,0)),0))</f>
        <v/>
      </c>
      <c r="I1287" s="9" t="str">
        <f aca="false">IF(OR(G1287="",H1287=""),"",IF(F1287="Uscita",-1,1)*G1287*H1287)</f>
        <v/>
      </c>
      <c r="J1287" s="13"/>
      <c r="K1287" s="13"/>
    </row>
    <row r="1288" customFormat="false" ht="15" hidden="false" customHeight="false" outlineLevel="0" collapsed="false">
      <c r="A1288" s="12"/>
      <c r="B1288" s="13"/>
      <c r="C1288" s="13"/>
      <c r="D1288" s="13"/>
      <c r="E1288" s="7" t="str">
        <f aca="false">IF(D1288="","",IFERROR(INDEX(Materiali!$B:$B,MATCH(D1288,Materiali!$A:$A,0)),"codice?"))</f>
        <v/>
      </c>
      <c r="F1288" s="13"/>
      <c r="G1288" s="13"/>
      <c r="H1288" s="9" t="str">
        <f aca="false">IF(D1288="","",IFERROR(INDEX(Materiali!$C:$C,MATCH(D1288,Materiali!$A:$A,0)),0))</f>
        <v/>
      </c>
      <c r="I1288" s="9" t="str">
        <f aca="false">IF(OR(G1288="",H1288=""),"",IF(F1288="Uscita",-1,1)*G1288*H1288)</f>
        <v/>
      </c>
      <c r="J1288" s="13"/>
      <c r="K1288" s="13"/>
    </row>
    <row r="1289" customFormat="false" ht="15" hidden="false" customHeight="false" outlineLevel="0" collapsed="false">
      <c r="A1289" s="12"/>
      <c r="B1289" s="13"/>
      <c r="C1289" s="13"/>
      <c r="D1289" s="13"/>
      <c r="E1289" s="7" t="str">
        <f aca="false">IF(D1289="","",IFERROR(INDEX(Materiali!$B:$B,MATCH(D1289,Materiali!$A:$A,0)),"codice?"))</f>
        <v/>
      </c>
      <c r="F1289" s="13"/>
      <c r="G1289" s="13"/>
      <c r="H1289" s="9" t="str">
        <f aca="false">IF(D1289="","",IFERROR(INDEX(Materiali!$C:$C,MATCH(D1289,Materiali!$A:$A,0)),0))</f>
        <v/>
      </c>
      <c r="I1289" s="9" t="str">
        <f aca="false">IF(OR(G1289="",H1289=""),"",IF(F1289="Uscita",-1,1)*G1289*H1289)</f>
        <v/>
      </c>
      <c r="J1289" s="13"/>
      <c r="K1289" s="13"/>
    </row>
    <row r="1290" customFormat="false" ht="15" hidden="false" customHeight="false" outlineLevel="0" collapsed="false">
      <c r="A1290" s="12"/>
      <c r="B1290" s="13"/>
      <c r="C1290" s="13"/>
      <c r="D1290" s="13"/>
      <c r="E1290" s="7" t="str">
        <f aca="false">IF(D1290="","",IFERROR(INDEX(Materiali!$B:$B,MATCH(D1290,Materiali!$A:$A,0)),"codice?"))</f>
        <v/>
      </c>
      <c r="F1290" s="13"/>
      <c r="G1290" s="13"/>
      <c r="H1290" s="9" t="str">
        <f aca="false">IF(D1290="","",IFERROR(INDEX(Materiali!$C:$C,MATCH(D1290,Materiali!$A:$A,0)),0))</f>
        <v/>
      </c>
      <c r="I1290" s="9" t="str">
        <f aca="false">IF(OR(G1290="",H1290=""),"",IF(F1290="Uscita",-1,1)*G1290*H1290)</f>
        <v/>
      </c>
      <c r="J1290" s="13"/>
      <c r="K1290" s="13"/>
    </row>
    <row r="1291" customFormat="false" ht="15" hidden="false" customHeight="false" outlineLevel="0" collapsed="false">
      <c r="A1291" s="12"/>
      <c r="B1291" s="13"/>
      <c r="C1291" s="13"/>
      <c r="D1291" s="13"/>
      <c r="E1291" s="7" t="str">
        <f aca="false">IF(D1291="","",IFERROR(INDEX(Materiali!$B:$B,MATCH(D1291,Materiali!$A:$A,0)),"codice?"))</f>
        <v/>
      </c>
      <c r="F1291" s="13"/>
      <c r="G1291" s="13"/>
      <c r="H1291" s="9" t="str">
        <f aca="false">IF(D1291="","",IFERROR(INDEX(Materiali!$C:$C,MATCH(D1291,Materiali!$A:$A,0)),0))</f>
        <v/>
      </c>
      <c r="I1291" s="9" t="str">
        <f aca="false">IF(OR(G1291="",H1291=""),"",IF(F1291="Uscita",-1,1)*G1291*H1291)</f>
        <v/>
      </c>
      <c r="J1291" s="13"/>
      <c r="K1291" s="13"/>
    </row>
    <row r="1292" customFormat="false" ht="15" hidden="false" customHeight="false" outlineLevel="0" collapsed="false">
      <c r="A1292" s="12"/>
      <c r="B1292" s="13"/>
      <c r="C1292" s="13"/>
      <c r="D1292" s="13"/>
      <c r="E1292" s="7" t="str">
        <f aca="false">IF(D1292="","",IFERROR(INDEX(Materiali!$B:$B,MATCH(D1292,Materiali!$A:$A,0)),"codice?"))</f>
        <v/>
      </c>
      <c r="F1292" s="13"/>
      <c r="G1292" s="13"/>
      <c r="H1292" s="9" t="str">
        <f aca="false">IF(D1292="","",IFERROR(INDEX(Materiali!$C:$C,MATCH(D1292,Materiali!$A:$A,0)),0))</f>
        <v/>
      </c>
      <c r="I1292" s="9" t="str">
        <f aca="false">IF(OR(G1292="",H1292=""),"",IF(F1292="Uscita",-1,1)*G1292*H1292)</f>
        <v/>
      </c>
      <c r="J1292" s="13"/>
      <c r="K1292" s="13"/>
    </row>
    <row r="1293" customFormat="false" ht="15" hidden="false" customHeight="false" outlineLevel="0" collapsed="false">
      <c r="A1293" s="12"/>
      <c r="B1293" s="13"/>
      <c r="C1293" s="13"/>
      <c r="D1293" s="13"/>
      <c r="E1293" s="7" t="str">
        <f aca="false">IF(D1293="","",IFERROR(INDEX(Materiali!$B:$B,MATCH(D1293,Materiali!$A:$A,0)),"codice?"))</f>
        <v/>
      </c>
      <c r="F1293" s="13"/>
      <c r="G1293" s="13"/>
      <c r="H1293" s="9" t="str">
        <f aca="false">IF(D1293="","",IFERROR(INDEX(Materiali!$C:$C,MATCH(D1293,Materiali!$A:$A,0)),0))</f>
        <v/>
      </c>
      <c r="I1293" s="9" t="str">
        <f aca="false">IF(OR(G1293="",H1293=""),"",IF(F1293="Uscita",-1,1)*G1293*H1293)</f>
        <v/>
      </c>
      <c r="J1293" s="13"/>
      <c r="K1293" s="13"/>
    </row>
    <row r="1294" customFormat="false" ht="15" hidden="false" customHeight="false" outlineLevel="0" collapsed="false">
      <c r="A1294" s="12"/>
      <c r="B1294" s="13"/>
      <c r="C1294" s="13"/>
      <c r="D1294" s="13"/>
      <c r="E1294" s="7" t="str">
        <f aca="false">IF(D1294="","",IFERROR(INDEX(Materiali!$B:$B,MATCH(D1294,Materiali!$A:$A,0)),"codice?"))</f>
        <v/>
      </c>
      <c r="F1294" s="13"/>
      <c r="G1294" s="13"/>
      <c r="H1294" s="9" t="str">
        <f aca="false">IF(D1294="","",IFERROR(INDEX(Materiali!$C:$C,MATCH(D1294,Materiali!$A:$A,0)),0))</f>
        <v/>
      </c>
      <c r="I1294" s="9" t="str">
        <f aca="false">IF(OR(G1294="",H1294=""),"",IF(F1294="Uscita",-1,1)*G1294*H1294)</f>
        <v/>
      </c>
      <c r="J1294" s="13"/>
      <c r="K1294" s="13"/>
    </row>
    <row r="1295" customFormat="false" ht="15" hidden="false" customHeight="false" outlineLevel="0" collapsed="false">
      <c r="A1295" s="12"/>
      <c r="B1295" s="13"/>
      <c r="C1295" s="13"/>
      <c r="D1295" s="13"/>
      <c r="E1295" s="7" t="str">
        <f aca="false">IF(D1295="","",IFERROR(INDEX(Materiali!$B:$B,MATCH(D1295,Materiali!$A:$A,0)),"codice?"))</f>
        <v/>
      </c>
      <c r="F1295" s="13"/>
      <c r="G1295" s="13"/>
      <c r="H1295" s="9" t="str">
        <f aca="false">IF(D1295="","",IFERROR(INDEX(Materiali!$C:$C,MATCH(D1295,Materiali!$A:$A,0)),0))</f>
        <v/>
      </c>
      <c r="I1295" s="9" t="str">
        <f aca="false">IF(OR(G1295="",H1295=""),"",IF(F1295="Uscita",-1,1)*G1295*H1295)</f>
        <v/>
      </c>
      <c r="J1295" s="13"/>
      <c r="K1295" s="13"/>
    </row>
    <row r="1296" customFormat="false" ht="15" hidden="false" customHeight="false" outlineLevel="0" collapsed="false">
      <c r="A1296" s="12"/>
      <c r="B1296" s="13"/>
      <c r="C1296" s="13"/>
      <c r="D1296" s="13"/>
      <c r="E1296" s="7" t="str">
        <f aca="false">IF(D1296="","",IFERROR(INDEX(Materiali!$B:$B,MATCH(D1296,Materiali!$A:$A,0)),"codice?"))</f>
        <v/>
      </c>
      <c r="F1296" s="13"/>
      <c r="G1296" s="13"/>
      <c r="H1296" s="9" t="str">
        <f aca="false">IF(D1296="","",IFERROR(INDEX(Materiali!$C:$C,MATCH(D1296,Materiali!$A:$A,0)),0))</f>
        <v/>
      </c>
      <c r="I1296" s="9" t="str">
        <f aca="false">IF(OR(G1296="",H1296=""),"",IF(F1296="Uscita",-1,1)*G1296*H1296)</f>
        <v/>
      </c>
      <c r="J1296" s="13"/>
      <c r="K1296" s="13"/>
    </row>
    <row r="1297" customFormat="false" ht="15" hidden="false" customHeight="false" outlineLevel="0" collapsed="false">
      <c r="A1297" s="12"/>
      <c r="B1297" s="13"/>
      <c r="C1297" s="13"/>
      <c r="D1297" s="13"/>
      <c r="E1297" s="7" t="str">
        <f aca="false">IF(D1297="","",IFERROR(INDEX(Materiali!$B:$B,MATCH(D1297,Materiali!$A:$A,0)),"codice?"))</f>
        <v/>
      </c>
      <c r="F1297" s="13"/>
      <c r="G1297" s="13"/>
      <c r="H1297" s="9" t="str">
        <f aca="false">IF(D1297="","",IFERROR(INDEX(Materiali!$C:$C,MATCH(D1297,Materiali!$A:$A,0)),0))</f>
        <v/>
      </c>
      <c r="I1297" s="9" t="str">
        <f aca="false">IF(OR(G1297="",H1297=""),"",IF(F1297="Uscita",-1,1)*G1297*H1297)</f>
        <v/>
      </c>
      <c r="J1297" s="13"/>
      <c r="K1297" s="13"/>
    </row>
    <row r="1298" customFormat="false" ht="15" hidden="false" customHeight="false" outlineLevel="0" collapsed="false">
      <c r="A1298" s="12"/>
      <c r="B1298" s="13"/>
      <c r="C1298" s="13"/>
      <c r="D1298" s="13"/>
      <c r="E1298" s="7" t="str">
        <f aca="false">IF(D1298="","",IFERROR(INDEX(Materiali!$B:$B,MATCH(D1298,Materiali!$A:$A,0)),"codice?"))</f>
        <v/>
      </c>
      <c r="F1298" s="13"/>
      <c r="G1298" s="13"/>
      <c r="H1298" s="9" t="str">
        <f aca="false">IF(D1298="","",IFERROR(INDEX(Materiali!$C:$C,MATCH(D1298,Materiali!$A:$A,0)),0))</f>
        <v/>
      </c>
      <c r="I1298" s="9" t="str">
        <f aca="false">IF(OR(G1298="",H1298=""),"",IF(F1298="Uscita",-1,1)*G1298*H1298)</f>
        <v/>
      </c>
      <c r="J1298" s="13"/>
      <c r="K1298" s="13"/>
    </row>
    <row r="1299" customFormat="false" ht="15" hidden="false" customHeight="false" outlineLevel="0" collapsed="false">
      <c r="A1299" s="12"/>
      <c r="B1299" s="13"/>
      <c r="C1299" s="13"/>
      <c r="D1299" s="13"/>
      <c r="E1299" s="7" t="str">
        <f aca="false">IF(D1299="","",IFERROR(INDEX(Materiali!$B:$B,MATCH(D1299,Materiali!$A:$A,0)),"codice?"))</f>
        <v/>
      </c>
      <c r="F1299" s="13"/>
      <c r="G1299" s="13"/>
      <c r="H1299" s="9" t="str">
        <f aca="false">IF(D1299="","",IFERROR(INDEX(Materiali!$C:$C,MATCH(D1299,Materiali!$A:$A,0)),0))</f>
        <v/>
      </c>
      <c r="I1299" s="9" t="str">
        <f aca="false">IF(OR(G1299="",H1299=""),"",IF(F1299="Uscita",-1,1)*G1299*H1299)</f>
        <v/>
      </c>
      <c r="J1299" s="13"/>
      <c r="K1299" s="13"/>
    </row>
    <row r="1300" customFormat="false" ht="15" hidden="false" customHeight="false" outlineLevel="0" collapsed="false">
      <c r="A1300" s="12"/>
      <c r="B1300" s="13"/>
      <c r="C1300" s="13"/>
      <c r="D1300" s="13"/>
      <c r="E1300" s="7" t="str">
        <f aca="false">IF(D1300="","",IFERROR(INDEX(Materiali!$B:$B,MATCH(D1300,Materiali!$A:$A,0)),"codice?"))</f>
        <v/>
      </c>
      <c r="F1300" s="13"/>
      <c r="G1300" s="13"/>
      <c r="H1300" s="9" t="str">
        <f aca="false">IF(D1300="","",IFERROR(INDEX(Materiali!$C:$C,MATCH(D1300,Materiali!$A:$A,0)),0))</f>
        <v/>
      </c>
      <c r="I1300" s="9" t="str">
        <f aca="false">IF(OR(G1300="",H1300=""),"",IF(F1300="Uscita",-1,1)*G1300*H1300)</f>
        <v/>
      </c>
      <c r="J1300" s="13"/>
      <c r="K1300" s="13"/>
    </row>
    <row r="1301" customFormat="false" ht="15" hidden="false" customHeight="false" outlineLevel="0" collapsed="false">
      <c r="A1301" s="12"/>
      <c r="B1301" s="13"/>
      <c r="C1301" s="13"/>
      <c r="D1301" s="13"/>
      <c r="E1301" s="7" t="str">
        <f aca="false">IF(D1301="","",IFERROR(INDEX(Materiali!$B:$B,MATCH(D1301,Materiali!$A:$A,0)),"codice?"))</f>
        <v/>
      </c>
      <c r="F1301" s="13"/>
      <c r="G1301" s="13"/>
      <c r="H1301" s="9" t="str">
        <f aca="false">IF(D1301="","",IFERROR(INDEX(Materiali!$C:$C,MATCH(D1301,Materiali!$A:$A,0)),0))</f>
        <v/>
      </c>
      <c r="I1301" s="9" t="str">
        <f aca="false">IF(OR(G1301="",H1301=""),"",IF(F1301="Uscita",-1,1)*G1301*H1301)</f>
        <v/>
      </c>
      <c r="J1301" s="13"/>
      <c r="K1301" s="13"/>
    </row>
    <row r="1302" customFormat="false" ht="15" hidden="false" customHeight="false" outlineLevel="0" collapsed="false">
      <c r="A1302" s="12"/>
      <c r="B1302" s="13"/>
      <c r="C1302" s="13"/>
      <c r="D1302" s="13"/>
      <c r="E1302" s="7" t="str">
        <f aca="false">IF(D1302="","",IFERROR(INDEX(Materiali!$B:$B,MATCH(D1302,Materiali!$A:$A,0)),"codice?"))</f>
        <v/>
      </c>
      <c r="F1302" s="13"/>
      <c r="G1302" s="13"/>
      <c r="H1302" s="9" t="str">
        <f aca="false">IF(D1302="","",IFERROR(INDEX(Materiali!$C:$C,MATCH(D1302,Materiali!$A:$A,0)),0))</f>
        <v/>
      </c>
      <c r="I1302" s="9" t="str">
        <f aca="false">IF(OR(G1302="",H1302=""),"",IF(F1302="Uscita",-1,1)*G1302*H1302)</f>
        <v/>
      </c>
      <c r="J1302" s="13"/>
      <c r="K1302" s="13"/>
    </row>
    <row r="1303" customFormat="false" ht="15" hidden="false" customHeight="false" outlineLevel="0" collapsed="false">
      <c r="A1303" s="12"/>
      <c r="B1303" s="13"/>
      <c r="C1303" s="13"/>
      <c r="D1303" s="13"/>
      <c r="E1303" s="7" t="str">
        <f aca="false">IF(D1303="","",IFERROR(INDEX(Materiali!$B:$B,MATCH(D1303,Materiali!$A:$A,0)),"codice?"))</f>
        <v/>
      </c>
      <c r="F1303" s="13"/>
      <c r="G1303" s="13"/>
      <c r="H1303" s="9" t="str">
        <f aca="false">IF(D1303="","",IFERROR(INDEX(Materiali!$C:$C,MATCH(D1303,Materiali!$A:$A,0)),0))</f>
        <v/>
      </c>
      <c r="I1303" s="9" t="str">
        <f aca="false">IF(OR(G1303="",H1303=""),"",IF(F1303="Uscita",-1,1)*G1303*H1303)</f>
        <v/>
      </c>
      <c r="J1303" s="13"/>
      <c r="K1303" s="13"/>
    </row>
    <row r="1304" customFormat="false" ht="15" hidden="false" customHeight="false" outlineLevel="0" collapsed="false">
      <c r="A1304" s="12"/>
      <c r="B1304" s="13"/>
      <c r="C1304" s="13"/>
      <c r="D1304" s="13"/>
      <c r="E1304" s="7" t="str">
        <f aca="false">IF(D1304="","",IFERROR(INDEX(Materiali!$B:$B,MATCH(D1304,Materiali!$A:$A,0)),"codice?"))</f>
        <v/>
      </c>
      <c r="F1304" s="13"/>
      <c r="G1304" s="13"/>
      <c r="H1304" s="9" t="str">
        <f aca="false">IF(D1304="","",IFERROR(INDEX(Materiali!$C:$C,MATCH(D1304,Materiali!$A:$A,0)),0))</f>
        <v/>
      </c>
      <c r="I1304" s="9" t="str">
        <f aca="false">IF(OR(G1304="",H1304=""),"",IF(F1304="Uscita",-1,1)*G1304*H1304)</f>
        <v/>
      </c>
      <c r="J1304" s="13"/>
      <c r="K1304" s="13"/>
    </row>
    <row r="1305" customFormat="false" ht="15" hidden="false" customHeight="false" outlineLevel="0" collapsed="false">
      <c r="A1305" s="12"/>
      <c r="B1305" s="13"/>
      <c r="C1305" s="13"/>
      <c r="D1305" s="13"/>
      <c r="E1305" s="7" t="str">
        <f aca="false">IF(D1305="","",IFERROR(INDEX(Materiali!$B:$B,MATCH(D1305,Materiali!$A:$A,0)),"codice?"))</f>
        <v/>
      </c>
      <c r="F1305" s="13"/>
      <c r="G1305" s="13"/>
      <c r="H1305" s="9" t="str">
        <f aca="false">IF(D1305="","",IFERROR(INDEX(Materiali!$C:$C,MATCH(D1305,Materiali!$A:$A,0)),0))</f>
        <v/>
      </c>
      <c r="I1305" s="9" t="str">
        <f aca="false">IF(OR(G1305="",H1305=""),"",IF(F1305="Uscita",-1,1)*G1305*H1305)</f>
        <v/>
      </c>
      <c r="J1305" s="13"/>
      <c r="K1305" s="13"/>
    </row>
    <row r="1306" customFormat="false" ht="15" hidden="false" customHeight="false" outlineLevel="0" collapsed="false">
      <c r="A1306" s="12"/>
      <c r="B1306" s="13"/>
      <c r="C1306" s="13"/>
      <c r="D1306" s="13"/>
      <c r="E1306" s="7" t="str">
        <f aca="false">IF(D1306="","",IFERROR(INDEX(Materiali!$B:$B,MATCH(D1306,Materiali!$A:$A,0)),"codice?"))</f>
        <v/>
      </c>
      <c r="F1306" s="13"/>
      <c r="G1306" s="13"/>
      <c r="H1306" s="9" t="str">
        <f aca="false">IF(D1306="","",IFERROR(INDEX(Materiali!$C:$C,MATCH(D1306,Materiali!$A:$A,0)),0))</f>
        <v/>
      </c>
      <c r="I1306" s="9" t="str">
        <f aca="false">IF(OR(G1306="",H1306=""),"",IF(F1306="Uscita",-1,1)*G1306*H1306)</f>
        <v/>
      </c>
      <c r="J1306" s="13"/>
      <c r="K1306" s="13"/>
    </row>
    <row r="1307" customFormat="false" ht="15" hidden="false" customHeight="false" outlineLevel="0" collapsed="false">
      <c r="A1307" s="12"/>
      <c r="B1307" s="13"/>
      <c r="C1307" s="13"/>
      <c r="D1307" s="13"/>
      <c r="E1307" s="7" t="str">
        <f aca="false">IF(D1307="","",IFERROR(INDEX(Materiali!$B:$B,MATCH(D1307,Materiali!$A:$A,0)),"codice?"))</f>
        <v/>
      </c>
      <c r="F1307" s="13"/>
      <c r="G1307" s="13"/>
      <c r="H1307" s="9" t="str">
        <f aca="false">IF(D1307="","",IFERROR(INDEX(Materiali!$C:$C,MATCH(D1307,Materiali!$A:$A,0)),0))</f>
        <v/>
      </c>
      <c r="I1307" s="9" t="str">
        <f aca="false">IF(OR(G1307="",H1307=""),"",IF(F1307="Uscita",-1,1)*G1307*H1307)</f>
        <v/>
      </c>
      <c r="J1307" s="13"/>
      <c r="K1307" s="13"/>
    </row>
    <row r="1308" customFormat="false" ht="15" hidden="false" customHeight="false" outlineLevel="0" collapsed="false">
      <c r="A1308" s="12"/>
      <c r="B1308" s="13"/>
      <c r="C1308" s="13"/>
      <c r="D1308" s="13"/>
      <c r="E1308" s="7" t="str">
        <f aca="false">IF(D1308="","",IFERROR(INDEX(Materiali!$B:$B,MATCH(D1308,Materiali!$A:$A,0)),"codice?"))</f>
        <v/>
      </c>
      <c r="F1308" s="13"/>
      <c r="G1308" s="13"/>
      <c r="H1308" s="9" t="str">
        <f aca="false">IF(D1308="","",IFERROR(INDEX(Materiali!$C:$C,MATCH(D1308,Materiali!$A:$A,0)),0))</f>
        <v/>
      </c>
      <c r="I1308" s="9" t="str">
        <f aca="false">IF(OR(G1308="",H1308=""),"",IF(F1308="Uscita",-1,1)*G1308*H1308)</f>
        <v/>
      </c>
      <c r="J1308" s="13"/>
      <c r="K1308" s="13"/>
    </row>
    <row r="1309" customFormat="false" ht="15" hidden="false" customHeight="false" outlineLevel="0" collapsed="false">
      <c r="A1309" s="12"/>
      <c r="B1309" s="13"/>
      <c r="C1309" s="13"/>
      <c r="D1309" s="13"/>
      <c r="E1309" s="7" t="str">
        <f aca="false">IF(D1309="","",IFERROR(INDEX(Materiali!$B:$B,MATCH(D1309,Materiali!$A:$A,0)),"codice?"))</f>
        <v/>
      </c>
      <c r="F1309" s="13"/>
      <c r="G1309" s="13"/>
      <c r="H1309" s="9" t="str">
        <f aca="false">IF(D1309="","",IFERROR(INDEX(Materiali!$C:$C,MATCH(D1309,Materiali!$A:$A,0)),0))</f>
        <v/>
      </c>
      <c r="I1309" s="9" t="str">
        <f aca="false">IF(OR(G1309="",H1309=""),"",IF(F1309="Uscita",-1,1)*G1309*H1309)</f>
        <v/>
      </c>
      <c r="J1309" s="13"/>
      <c r="K1309" s="13"/>
    </row>
    <row r="1310" customFormat="false" ht="15" hidden="false" customHeight="false" outlineLevel="0" collapsed="false">
      <c r="A1310" s="12"/>
      <c r="B1310" s="13"/>
      <c r="C1310" s="13"/>
      <c r="D1310" s="13"/>
      <c r="E1310" s="7" t="str">
        <f aca="false">IF(D1310="","",IFERROR(INDEX(Materiali!$B:$B,MATCH(D1310,Materiali!$A:$A,0)),"codice?"))</f>
        <v/>
      </c>
      <c r="F1310" s="13"/>
      <c r="G1310" s="13"/>
      <c r="H1310" s="9" t="str">
        <f aca="false">IF(D1310="","",IFERROR(INDEX(Materiali!$C:$C,MATCH(D1310,Materiali!$A:$A,0)),0))</f>
        <v/>
      </c>
      <c r="I1310" s="9" t="str">
        <f aca="false">IF(OR(G1310="",H1310=""),"",IF(F1310="Uscita",-1,1)*G1310*H1310)</f>
        <v/>
      </c>
      <c r="J1310" s="13"/>
      <c r="K1310" s="13"/>
    </row>
    <row r="1311" customFormat="false" ht="15" hidden="false" customHeight="false" outlineLevel="0" collapsed="false">
      <c r="A1311" s="12"/>
      <c r="B1311" s="13"/>
      <c r="C1311" s="13"/>
      <c r="D1311" s="13"/>
      <c r="E1311" s="7" t="str">
        <f aca="false">IF(D1311="","",IFERROR(INDEX(Materiali!$B:$B,MATCH(D1311,Materiali!$A:$A,0)),"codice?"))</f>
        <v/>
      </c>
      <c r="F1311" s="13"/>
      <c r="G1311" s="13"/>
      <c r="H1311" s="9" t="str">
        <f aca="false">IF(D1311="","",IFERROR(INDEX(Materiali!$C:$C,MATCH(D1311,Materiali!$A:$A,0)),0))</f>
        <v/>
      </c>
      <c r="I1311" s="9" t="str">
        <f aca="false">IF(OR(G1311="",H1311=""),"",IF(F1311="Uscita",-1,1)*G1311*H1311)</f>
        <v/>
      </c>
      <c r="J1311" s="13"/>
      <c r="K1311" s="13"/>
    </row>
    <row r="1312" customFormat="false" ht="15" hidden="false" customHeight="false" outlineLevel="0" collapsed="false">
      <c r="A1312" s="12"/>
      <c r="B1312" s="13"/>
      <c r="C1312" s="13"/>
      <c r="D1312" s="13"/>
      <c r="E1312" s="7" t="str">
        <f aca="false">IF(D1312="","",IFERROR(INDEX(Materiali!$B:$B,MATCH(D1312,Materiali!$A:$A,0)),"codice?"))</f>
        <v/>
      </c>
      <c r="F1312" s="13"/>
      <c r="G1312" s="13"/>
      <c r="H1312" s="9" t="str">
        <f aca="false">IF(D1312="","",IFERROR(INDEX(Materiali!$C:$C,MATCH(D1312,Materiali!$A:$A,0)),0))</f>
        <v/>
      </c>
      <c r="I1312" s="9" t="str">
        <f aca="false">IF(OR(G1312="",H1312=""),"",IF(F1312="Uscita",-1,1)*G1312*H1312)</f>
        <v/>
      </c>
      <c r="J1312" s="13"/>
      <c r="K1312" s="13"/>
    </row>
    <row r="1313" customFormat="false" ht="15" hidden="false" customHeight="false" outlineLevel="0" collapsed="false">
      <c r="A1313" s="12"/>
      <c r="B1313" s="13"/>
      <c r="C1313" s="13"/>
      <c r="D1313" s="13"/>
      <c r="E1313" s="7" t="str">
        <f aca="false">IF(D1313="","",IFERROR(INDEX(Materiali!$B:$B,MATCH(D1313,Materiali!$A:$A,0)),"codice?"))</f>
        <v/>
      </c>
      <c r="F1313" s="13"/>
      <c r="G1313" s="13"/>
      <c r="H1313" s="9" t="str">
        <f aca="false">IF(D1313="","",IFERROR(INDEX(Materiali!$C:$C,MATCH(D1313,Materiali!$A:$A,0)),0))</f>
        <v/>
      </c>
      <c r="I1313" s="9" t="str">
        <f aca="false">IF(OR(G1313="",H1313=""),"",IF(F1313="Uscita",-1,1)*G1313*H1313)</f>
        <v/>
      </c>
      <c r="J1313" s="13"/>
      <c r="K1313" s="13"/>
    </row>
    <row r="1314" customFormat="false" ht="15" hidden="false" customHeight="false" outlineLevel="0" collapsed="false">
      <c r="A1314" s="12"/>
      <c r="B1314" s="13"/>
      <c r="C1314" s="13"/>
      <c r="D1314" s="13"/>
      <c r="E1314" s="7" t="str">
        <f aca="false">IF(D1314="","",IFERROR(INDEX(Materiali!$B:$B,MATCH(D1314,Materiali!$A:$A,0)),"codice?"))</f>
        <v/>
      </c>
      <c r="F1314" s="13"/>
      <c r="G1314" s="13"/>
      <c r="H1314" s="9" t="str">
        <f aca="false">IF(D1314="","",IFERROR(INDEX(Materiali!$C:$C,MATCH(D1314,Materiali!$A:$A,0)),0))</f>
        <v/>
      </c>
      <c r="I1314" s="9" t="str">
        <f aca="false">IF(OR(G1314="",H1314=""),"",IF(F1314="Uscita",-1,1)*G1314*H1314)</f>
        <v/>
      </c>
      <c r="J1314" s="13"/>
      <c r="K1314" s="13"/>
    </row>
    <row r="1315" customFormat="false" ht="15" hidden="false" customHeight="false" outlineLevel="0" collapsed="false">
      <c r="A1315" s="12"/>
      <c r="B1315" s="13"/>
      <c r="C1315" s="13"/>
      <c r="D1315" s="13"/>
      <c r="E1315" s="7" t="str">
        <f aca="false">IF(D1315="","",IFERROR(INDEX(Materiali!$B:$B,MATCH(D1315,Materiali!$A:$A,0)),"codice?"))</f>
        <v/>
      </c>
      <c r="F1315" s="13"/>
      <c r="G1315" s="13"/>
      <c r="H1315" s="9" t="str">
        <f aca="false">IF(D1315="","",IFERROR(INDEX(Materiali!$C:$C,MATCH(D1315,Materiali!$A:$A,0)),0))</f>
        <v/>
      </c>
      <c r="I1315" s="9" t="str">
        <f aca="false">IF(OR(G1315="",H1315=""),"",IF(F1315="Uscita",-1,1)*G1315*H1315)</f>
        <v/>
      </c>
      <c r="J1315" s="13"/>
      <c r="K1315" s="13"/>
    </row>
    <row r="1316" customFormat="false" ht="15" hidden="false" customHeight="false" outlineLevel="0" collapsed="false">
      <c r="A1316" s="12"/>
      <c r="B1316" s="13"/>
      <c r="C1316" s="13"/>
      <c r="D1316" s="13"/>
      <c r="E1316" s="7" t="str">
        <f aca="false">IF(D1316="","",IFERROR(INDEX(Materiali!$B:$B,MATCH(D1316,Materiali!$A:$A,0)),"codice?"))</f>
        <v/>
      </c>
      <c r="F1316" s="13"/>
      <c r="G1316" s="13"/>
      <c r="H1316" s="9" t="str">
        <f aca="false">IF(D1316="","",IFERROR(INDEX(Materiali!$C:$C,MATCH(D1316,Materiali!$A:$A,0)),0))</f>
        <v/>
      </c>
      <c r="I1316" s="9" t="str">
        <f aca="false">IF(OR(G1316="",H1316=""),"",IF(F1316="Uscita",-1,1)*G1316*H1316)</f>
        <v/>
      </c>
      <c r="J1316" s="13"/>
      <c r="K1316" s="13"/>
    </row>
    <row r="1317" customFormat="false" ht="15" hidden="false" customHeight="false" outlineLevel="0" collapsed="false">
      <c r="A1317" s="12"/>
      <c r="B1317" s="13"/>
      <c r="C1317" s="13"/>
      <c r="D1317" s="13"/>
      <c r="E1317" s="7" t="str">
        <f aca="false">IF(D1317="","",IFERROR(INDEX(Materiali!$B:$B,MATCH(D1317,Materiali!$A:$A,0)),"codice?"))</f>
        <v/>
      </c>
      <c r="F1317" s="13"/>
      <c r="G1317" s="13"/>
      <c r="H1317" s="9" t="str">
        <f aca="false">IF(D1317="","",IFERROR(INDEX(Materiali!$C:$C,MATCH(D1317,Materiali!$A:$A,0)),0))</f>
        <v/>
      </c>
      <c r="I1317" s="9" t="str">
        <f aca="false">IF(OR(G1317="",H1317=""),"",IF(F1317="Uscita",-1,1)*G1317*H1317)</f>
        <v/>
      </c>
      <c r="J1317" s="13"/>
      <c r="K1317" s="13"/>
    </row>
    <row r="1318" customFormat="false" ht="15" hidden="false" customHeight="false" outlineLevel="0" collapsed="false">
      <c r="A1318" s="12"/>
      <c r="B1318" s="13"/>
      <c r="C1318" s="13"/>
      <c r="D1318" s="13"/>
      <c r="E1318" s="7" t="str">
        <f aca="false">IF(D1318="","",IFERROR(INDEX(Materiali!$B:$B,MATCH(D1318,Materiali!$A:$A,0)),"codice?"))</f>
        <v/>
      </c>
      <c r="F1318" s="13"/>
      <c r="G1318" s="13"/>
      <c r="H1318" s="9" t="str">
        <f aca="false">IF(D1318="","",IFERROR(INDEX(Materiali!$C:$C,MATCH(D1318,Materiali!$A:$A,0)),0))</f>
        <v/>
      </c>
      <c r="I1318" s="9" t="str">
        <f aca="false">IF(OR(G1318="",H1318=""),"",IF(F1318="Uscita",-1,1)*G1318*H1318)</f>
        <v/>
      </c>
      <c r="J1318" s="13"/>
      <c r="K1318" s="13"/>
    </row>
    <row r="1319" customFormat="false" ht="15" hidden="false" customHeight="false" outlineLevel="0" collapsed="false">
      <c r="A1319" s="12"/>
      <c r="B1319" s="13"/>
      <c r="C1319" s="13"/>
      <c r="D1319" s="13"/>
      <c r="E1319" s="7" t="str">
        <f aca="false">IF(D1319="","",IFERROR(INDEX(Materiali!$B:$B,MATCH(D1319,Materiali!$A:$A,0)),"codice?"))</f>
        <v/>
      </c>
      <c r="F1319" s="13"/>
      <c r="G1319" s="13"/>
      <c r="H1319" s="9" t="str">
        <f aca="false">IF(D1319="","",IFERROR(INDEX(Materiali!$C:$C,MATCH(D1319,Materiali!$A:$A,0)),0))</f>
        <v/>
      </c>
      <c r="I1319" s="9" t="str">
        <f aca="false">IF(OR(G1319="",H1319=""),"",IF(F1319="Uscita",-1,1)*G1319*H1319)</f>
        <v/>
      </c>
      <c r="J1319" s="13"/>
      <c r="K1319" s="13"/>
    </row>
    <row r="1320" customFormat="false" ht="15" hidden="false" customHeight="false" outlineLevel="0" collapsed="false">
      <c r="A1320" s="12"/>
      <c r="B1320" s="13"/>
      <c r="C1320" s="13"/>
      <c r="D1320" s="13"/>
      <c r="E1320" s="7" t="str">
        <f aca="false">IF(D1320="","",IFERROR(INDEX(Materiali!$B:$B,MATCH(D1320,Materiali!$A:$A,0)),"codice?"))</f>
        <v/>
      </c>
      <c r="F1320" s="13"/>
      <c r="G1320" s="13"/>
      <c r="H1320" s="9" t="str">
        <f aca="false">IF(D1320="","",IFERROR(INDEX(Materiali!$C:$C,MATCH(D1320,Materiali!$A:$A,0)),0))</f>
        <v/>
      </c>
      <c r="I1320" s="9" t="str">
        <f aca="false">IF(OR(G1320="",H1320=""),"",IF(F1320="Uscita",-1,1)*G1320*H1320)</f>
        <v/>
      </c>
      <c r="J1320" s="13"/>
      <c r="K1320" s="13"/>
    </row>
    <row r="1321" customFormat="false" ht="15" hidden="false" customHeight="false" outlineLevel="0" collapsed="false">
      <c r="A1321" s="12"/>
      <c r="B1321" s="13"/>
      <c r="C1321" s="13"/>
      <c r="D1321" s="13"/>
      <c r="E1321" s="7" t="str">
        <f aca="false">IF(D1321="","",IFERROR(INDEX(Materiali!$B:$B,MATCH(D1321,Materiali!$A:$A,0)),"codice?"))</f>
        <v/>
      </c>
      <c r="F1321" s="13"/>
      <c r="G1321" s="13"/>
      <c r="H1321" s="9" t="str">
        <f aca="false">IF(D1321="","",IFERROR(INDEX(Materiali!$C:$C,MATCH(D1321,Materiali!$A:$A,0)),0))</f>
        <v/>
      </c>
      <c r="I1321" s="9" t="str">
        <f aca="false">IF(OR(G1321="",H1321=""),"",IF(F1321="Uscita",-1,1)*G1321*H1321)</f>
        <v/>
      </c>
      <c r="J1321" s="13"/>
      <c r="K1321" s="13"/>
    </row>
    <row r="1322" customFormat="false" ht="15" hidden="false" customHeight="false" outlineLevel="0" collapsed="false">
      <c r="A1322" s="12"/>
      <c r="B1322" s="13"/>
      <c r="C1322" s="13"/>
      <c r="D1322" s="13"/>
      <c r="E1322" s="7" t="str">
        <f aca="false">IF(D1322="","",IFERROR(INDEX(Materiali!$B:$B,MATCH(D1322,Materiali!$A:$A,0)),"codice?"))</f>
        <v/>
      </c>
      <c r="F1322" s="13"/>
      <c r="G1322" s="13"/>
      <c r="H1322" s="9" t="str">
        <f aca="false">IF(D1322="","",IFERROR(INDEX(Materiali!$C:$C,MATCH(D1322,Materiali!$A:$A,0)),0))</f>
        <v/>
      </c>
      <c r="I1322" s="9" t="str">
        <f aca="false">IF(OR(G1322="",H1322=""),"",IF(F1322="Uscita",-1,1)*G1322*H1322)</f>
        <v/>
      </c>
      <c r="J1322" s="13"/>
      <c r="K1322" s="13"/>
    </row>
    <row r="1323" customFormat="false" ht="15" hidden="false" customHeight="false" outlineLevel="0" collapsed="false">
      <c r="A1323" s="12"/>
      <c r="B1323" s="13"/>
      <c r="C1323" s="13"/>
      <c r="D1323" s="13"/>
      <c r="E1323" s="7" t="str">
        <f aca="false">IF(D1323="","",IFERROR(INDEX(Materiali!$B:$B,MATCH(D1323,Materiali!$A:$A,0)),"codice?"))</f>
        <v/>
      </c>
      <c r="F1323" s="13"/>
      <c r="G1323" s="13"/>
      <c r="H1323" s="9" t="str">
        <f aca="false">IF(D1323="","",IFERROR(INDEX(Materiali!$C:$C,MATCH(D1323,Materiali!$A:$A,0)),0))</f>
        <v/>
      </c>
      <c r="I1323" s="9" t="str">
        <f aca="false">IF(OR(G1323="",H1323=""),"",IF(F1323="Uscita",-1,1)*G1323*H1323)</f>
        <v/>
      </c>
      <c r="J1323" s="13"/>
      <c r="K1323" s="13"/>
    </row>
    <row r="1324" customFormat="false" ht="15" hidden="false" customHeight="false" outlineLevel="0" collapsed="false">
      <c r="A1324" s="12"/>
      <c r="B1324" s="13"/>
      <c r="C1324" s="13"/>
      <c r="D1324" s="13"/>
      <c r="E1324" s="7" t="str">
        <f aca="false">IF(D1324="","",IFERROR(INDEX(Materiali!$B:$B,MATCH(D1324,Materiali!$A:$A,0)),"codice?"))</f>
        <v/>
      </c>
      <c r="F1324" s="13"/>
      <c r="G1324" s="13"/>
      <c r="H1324" s="9" t="str">
        <f aca="false">IF(D1324="","",IFERROR(INDEX(Materiali!$C:$C,MATCH(D1324,Materiali!$A:$A,0)),0))</f>
        <v/>
      </c>
      <c r="I1324" s="9" t="str">
        <f aca="false">IF(OR(G1324="",H1324=""),"",IF(F1324="Uscita",-1,1)*G1324*H1324)</f>
        <v/>
      </c>
      <c r="J1324" s="13"/>
      <c r="K1324" s="13"/>
    </row>
    <row r="1325" customFormat="false" ht="15" hidden="false" customHeight="false" outlineLevel="0" collapsed="false">
      <c r="A1325" s="12"/>
      <c r="B1325" s="13"/>
      <c r="C1325" s="13"/>
      <c r="D1325" s="13"/>
      <c r="E1325" s="7" t="str">
        <f aca="false">IF(D1325="","",IFERROR(INDEX(Materiali!$B:$B,MATCH(D1325,Materiali!$A:$A,0)),"codice?"))</f>
        <v/>
      </c>
      <c r="F1325" s="13"/>
      <c r="G1325" s="13"/>
      <c r="H1325" s="9" t="str">
        <f aca="false">IF(D1325="","",IFERROR(INDEX(Materiali!$C:$C,MATCH(D1325,Materiali!$A:$A,0)),0))</f>
        <v/>
      </c>
      <c r="I1325" s="9" t="str">
        <f aca="false">IF(OR(G1325="",H1325=""),"",IF(F1325="Uscita",-1,1)*G1325*H1325)</f>
        <v/>
      </c>
      <c r="J1325" s="13"/>
      <c r="K1325" s="13"/>
    </row>
    <row r="1326" customFormat="false" ht="15" hidden="false" customHeight="false" outlineLevel="0" collapsed="false">
      <c r="A1326" s="12"/>
      <c r="B1326" s="13"/>
      <c r="C1326" s="13"/>
      <c r="D1326" s="13"/>
      <c r="E1326" s="7" t="str">
        <f aca="false">IF(D1326="","",IFERROR(INDEX(Materiali!$B:$B,MATCH(D1326,Materiali!$A:$A,0)),"codice?"))</f>
        <v/>
      </c>
      <c r="F1326" s="13"/>
      <c r="G1326" s="13"/>
      <c r="H1326" s="9" t="str">
        <f aca="false">IF(D1326="","",IFERROR(INDEX(Materiali!$C:$C,MATCH(D1326,Materiali!$A:$A,0)),0))</f>
        <v/>
      </c>
      <c r="I1326" s="9" t="str">
        <f aca="false">IF(OR(G1326="",H1326=""),"",IF(F1326="Uscita",-1,1)*G1326*H1326)</f>
        <v/>
      </c>
      <c r="J1326" s="13"/>
      <c r="K1326" s="13"/>
    </row>
    <row r="1327" customFormat="false" ht="15" hidden="false" customHeight="false" outlineLevel="0" collapsed="false">
      <c r="A1327" s="12"/>
      <c r="B1327" s="13"/>
      <c r="C1327" s="13"/>
      <c r="D1327" s="13"/>
      <c r="E1327" s="7" t="str">
        <f aca="false">IF(D1327="","",IFERROR(INDEX(Materiali!$B:$B,MATCH(D1327,Materiali!$A:$A,0)),"codice?"))</f>
        <v/>
      </c>
      <c r="F1327" s="13"/>
      <c r="G1327" s="13"/>
      <c r="H1327" s="9" t="str">
        <f aca="false">IF(D1327="","",IFERROR(INDEX(Materiali!$C:$C,MATCH(D1327,Materiali!$A:$A,0)),0))</f>
        <v/>
      </c>
      <c r="I1327" s="9" t="str">
        <f aca="false">IF(OR(G1327="",H1327=""),"",IF(F1327="Uscita",-1,1)*G1327*H1327)</f>
        <v/>
      </c>
      <c r="J1327" s="13"/>
      <c r="K1327" s="13"/>
    </row>
    <row r="1328" customFormat="false" ht="15" hidden="false" customHeight="false" outlineLevel="0" collapsed="false">
      <c r="A1328" s="12"/>
      <c r="B1328" s="13"/>
      <c r="C1328" s="13"/>
      <c r="D1328" s="13"/>
      <c r="E1328" s="7" t="str">
        <f aca="false">IF(D1328="","",IFERROR(INDEX(Materiali!$B:$B,MATCH(D1328,Materiali!$A:$A,0)),"codice?"))</f>
        <v/>
      </c>
      <c r="F1328" s="13"/>
      <c r="G1328" s="13"/>
      <c r="H1328" s="9" t="str">
        <f aca="false">IF(D1328="","",IFERROR(INDEX(Materiali!$C:$C,MATCH(D1328,Materiali!$A:$A,0)),0))</f>
        <v/>
      </c>
      <c r="I1328" s="9" t="str">
        <f aca="false">IF(OR(G1328="",H1328=""),"",IF(F1328="Uscita",-1,1)*G1328*H1328)</f>
        <v/>
      </c>
      <c r="J1328" s="13"/>
      <c r="K1328" s="13"/>
    </row>
    <row r="1329" customFormat="false" ht="15" hidden="false" customHeight="false" outlineLevel="0" collapsed="false">
      <c r="A1329" s="12"/>
      <c r="B1329" s="13"/>
      <c r="C1329" s="13"/>
      <c r="D1329" s="13"/>
      <c r="E1329" s="7" t="str">
        <f aca="false">IF(D1329="","",IFERROR(INDEX(Materiali!$B:$B,MATCH(D1329,Materiali!$A:$A,0)),"codice?"))</f>
        <v/>
      </c>
      <c r="F1329" s="13"/>
      <c r="G1329" s="13"/>
      <c r="H1329" s="9" t="str">
        <f aca="false">IF(D1329="","",IFERROR(INDEX(Materiali!$C:$C,MATCH(D1329,Materiali!$A:$A,0)),0))</f>
        <v/>
      </c>
      <c r="I1329" s="9" t="str">
        <f aca="false">IF(OR(G1329="",H1329=""),"",IF(F1329="Uscita",-1,1)*G1329*H1329)</f>
        <v/>
      </c>
      <c r="J1329" s="13"/>
      <c r="K1329" s="13"/>
    </row>
    <row r="1330" customFormat="false" ht="15" hidden="false" customHeight="false" outlineLevel="0" collapsed="false">
      <c r="A1330" s="12"/>
      <c r="B1330" s="13"/>
      <c r="C1330" s="13"/>
      <c r="D1330" s="13"/>
      <c r="E1330" s="7" t="str">
        <f aca="false">IF(D1330="","",IFERROR(INDEX(Materiali!$B:$B,MATCH(D1330,Materiali!$A:$A,0)),"codice?"))</f>
        <v/>
      </c>
      <c r="F1330" s="13"/>
      <c r="G1330" s="13"/>
      <c r="H1330" s="9" t="str">
        <f aca="false">IF(D1330="","",IFERROR(INDEX(Materiali!$C:$C,MATCH(D1330,Materiali!$A:$A,0)),0))</f>
        <v/>
      </c>
      <c r="I1330" s="9" t="str">
        <f aca="false">IF(OR(G1330="",H1330=""),"",IF(F1330="Uscita",-1,1)*G1330*H1330)</f>
        <v/>
      </c>
      <c r="J1330" s="13"/>
      <c r="K1330" s="13"/>
    </row>
    <row r="1331" customFormat="false" ht="15" hidden="false" customHeight="false" outlineLevel="0" collapsed="false">
      <c r="A1331" s="12"/>
      <c r="B1331" s="13"/>
      <c r="C1331" s="13"/>
      <c r="D1331" s="13"/>
      <c r="E1331" s="7" t="str">
        <f aca="false">IF(D1331="","",IFERROR(INDEX(Materiali!$B:$B,MATCH(D1331,Materiali!$A:$A,0)),"codice?"))</f>
        <v/>
      </c>
      <c r="F1331" s="13"/>
      <c r="G1331" s="13"/>
      <c r="H1331" s="9" t="str">
        <f aca="false">IF(D1331="","",IFERROR(INDEX(Materiali!$C:$C,MATCH(D1331,Materiali!$A:$A,0)),0))</f>
        <v/>
      </c>
      <c r="I1331" s="9" t="str">
        <f aca="false">IF(OR(G1331="",H1331=""),"",IF(F1331="Uscita",-1,1)*G1331*H1331)</f>
        <v/>
      </c>
      <c r="J1331" s="13"/>
      <c r="K1331" s="13"/>
    </row>
    <row r="1332" customFormat="false" ht="15" hidden="false" customHeight="false" outlineLevel="0" collapsed="false">
      <c r="A1332" s="12"/>
      <c r="B1332" s="13"/>
      <c r="C1332" s="13"/>
      <c r="D1332" s="13"/>
      <c r="E1332" s="7" t="str">
        <f aca="false">IF(D1332="","",IFERROR(INDEX(Materiali!$B:$B,MATCH(D1332,Materiali!$A:$A,0)),"codice?"))</f>
        <v/>
      </c>
      <c r="F1332" s="13"/>
      <c r="G1332" s="13"/>
      <c r="H1332" s="9" t="str">
        <f aca="false">IF(D1332="","",IFERROR(INDEX(Materiali!$C:$C,MATCH(D1332,Materiali!$A:$A,0)),0))</f>
        <v/>
      </c>
      <c r="I1332" s="9" t="str">
        <f aca="false">IF(OR(G1332="",H1332=""),"",IF(F1332="Uscita",-1,1)*G1332*H1332)</f>
        <v/>
      </c>
      <c r="J1332" s="13"/>
      <c r="K1332" s="13"/>
    </row>
    <row r="1333" customFormat="false" ht="15" hidden="false" customHeight="false" outlineLevel="0" collapsed="false">
      <c r="A1333" s="12"/>
      <c r="B1333" s="13"/>
      <c r="C1333" s="13"/>
      <c r="D1333" s="13"/>
      <c r="E1333" s="7" t="str">
        <f aca="false">IF(D1333="","",IFERROR(INDEX(Materiali!$B:$B,MATCH(D1333,Materiali!$A:$A,0)),"codice?"))</f>
        <v/>
      </c>
      <c r="F1333" s="13"/>
      <c r="G1333" s="13"/>
      <c r="H1333" s="9" t="str">
        <f aca="false">IF(D1333="","",IFERROR(INDEX(Materiali!$C:$C,MATCH(D1333,Materiali!$A:$A,0)),0))</f>
        <v/>
      </c>
      <c r="I1333" s="9" t="str">
        <f aca="false">IF(OR(G1333="",H1333=""),"",IF(F1333="Uscita",-1,1)*G1333*H1333)</f>
        <v/>
      </c>
      <c r="J1333" s="13"/>
      <c r="K1333" s="13"/>
    </row>
    <row r="1334" customFormat="false" ht="15" hidden="false" customHeight="false" outlineLevel="0" collapsed="false">
      <c r="A1334" s="12"/>
      <c r="B1334" s="13"/>
      <c r="C1334" s="13"/>
      <c r="D1334" s="13"/>
      <c r="E1334" s="7" t="str">
        <f aca="false">IF(D1334="","",IFERROR(INDEX(Materiali!$B:$B,MATCH(D1334,Materiali!$A:$A,0)),"codice?"))</f>
        <v/>
      </c>
      <c r="F1334" s="13"/>
      <c r="G1334" s="13"/>
      <c r="H1334" s="9" t="str">
        <f aca="false">IF(D1334="","",IFERROR(INDEX(Materiali!$C:$C,MATCH(D1334,Materiali!$A:$A,0)),0))</f>
        <v/>
      </c>
      <c r="I1334" s="9" t="str">
        <f aca="false">IF(OR(G1334="",H1334=""),"",IF(F1334="Uscita",-1,1)*G1334*H1334)</f>
        <v/>
      </c>
      <c r="J1334" s="13"/>
      <c r="K1334" s="13"/>
    </row>
    <row r="1335" customFormat="false" ht="15" hidden="false" customHeight="false" outlineLevel="0" collapsed="false">
      <c r="A1335" s="12"/>
      <c r="B1335" s="13"/>
      <c r="C1335" s="13"/>
      <c r="D1335" s="13"/>
      <c r="E1335" s="7" t="str">
        <f aca="false">IF(D1335="","",IFERROR(INDEX(Materiali!$B:$B,MATCH(D1335,Materiali!$A:$A,0)),"codice?"))</f>
        <v/>
      </c>
      <c r="F1335" s="13"/>
      <c r="G1335" s="13"/>
      <c r="H1335" s="9" t="str">
        <f aca="false">IF(D1335="","",IFERROR(INDEX(Materiali!$C:$C,MATCH(D1335,Materiali!$A:$A,0)),0))</f>
        <v/>
      </c>
      <c r="I1335" s="9" t="str">
        <f aca="false">IF(OR(G1335="",H1335=""),"",IF(F1335="Uscita",-1,1)*G1335*H1335)</f>
        <v/>
      </c>
      <c r="J1335" s="13"/>
      <c r="K1335" s="13"/>
    </row>
    <row r="1336" customFormat="false" ht="15" hidden="false" customHeight="false" outlineLevel="0" collapsed="false">
      <c r="A1336" s="12"/>
      <c r="B1336" s="13"/>
      <c r="C1336" s="13"/>
      <c r="D1336" s="13"/>
      <c r="E1336" s="7" t="str">
        <f aca="false">IF(D1336="","",IFERROR(INDEX(Materiali!$B:$B,MATCH(D1336,Materiali!$A:$A,0)),"codice?"))</f>
        <v/>
      </c>
      <c r="F1336" s="13"/>
      <c r="G1336" s="13"/>
      <c r="H1336" s="9" t="str">
        <f aca="false">IF(D1336="","",IFERROR(INDEX(Materiali!$C:$C,MATCH(D1336,Materiali!$A:$A,0)),0))</f>
        <v/>
      </c>
      <c r="I1336" s="9" t="str">
        <f aca="false">IF(OR(G1336="",H1336=""),"",IF(F1336="Uscita",-1,1)*G1336*H1336)</f>
        <v/>
      </c>
      <c r="J1336" s="13"/>
      <c r="K1336" s="13"/>
    </row>
    <row r="1337" customFormat="false" ht="15" hidden="false" customHeight="false" outlineLevel="0" collapsed="false">
      <c r="A1337" s="12"/>
      <c r="B1337" s="13"/>
      <c r="C1337" s="13"/>
      <c r="D1337" s="13"/>
      <c r="E1337" s="7" t="str">
        <f aca="false">IF(D1337="","",IFERROR(INDEX(Materiali!$B:$B,MATCH(D1337,Materiali!$A:$A,0)),"codice?"))</f>
        <v/>
      </c>
      <c r="F1337" s="13"/>
      <c r="G1337" s="13"/>
      <c r="H1337" s="9" t="str">
        <f aca="false">IF(D1337="","",IFERROR(INDEX(Materiali!$C:$C,MATCH(D1337,Materiali!$A:$A,0)),0))</f>
        <v/>
      </c>
      <c r="I1337" s="9" t="str">
        <f aca="false">IF(OR(G1337="",H1337=""),"",IF(F1337="Uscita",-1,1)*G1337*H1337)</f>
        <v/>
      </c>
      <c r="J1337" s="13"/>
      <c r="K1337" s="13"/>
    </row>
    <row r="1338" customFormat="false" ht="15" hidden="false" customHeight="false" outlineLevel="0" collapsed="false">
      <c r="A1338" s="12"/>
      <c r="B1338" s="13"/>
      <c r="C1338" s="13"/>
      <c r="D1338" s="13"/>
      <c r="E1338" s="7" t="str">
        <f aca="false">IF(D1338="","",IFERROR(INDEX(Materiali!$B:$B,MATCH(D1338,Materiali!$A:$A,0)),"codice?"))</f>
        <v/>
      </c>
      <c r="F1338" s="13"/>
      <c r="G1338" s="13"/>
      <c r="H1338" s="9" t="str">
        <f aca="false">IF(D1338="","",IFERROR(INDEX(Materiali!$C:$C,MATCH(D1338,Materiali!$A:$A,0)),0))</f>
        <v/>
      </c>
      <c r="I1338" s="9" t="str">
        <f aca="false">IF(OR(G1338="",H1338=""),"",IF(F1338="Uscita",-1,1)*G1338*H1338)</f>
        <v/>
      </c>
      <c r="J1338" s="13"/>
      <c r="K1338" s="13"/>
    </row>
    <row r="1339" customFormat="false" ht="15" hidden="false" customHeight="false" outlineLevel="0" collapsed="false">
      <c r="A1339" s="12"/>
      <c r="B1339" s="13"/>
      <c r="C1339" s="13"/>
      <c r="D1339" s="13"/>
      <c r="E1339" s="7" t="str">
        <f aca="false">IF(D1339="","",IFERROR(INDEX(Materiali!$B:$B,MATCH(D1339,Materiali!$A:$A,0)),"codice?"))</f>
        <v/>
      </c>
      <c r="F1339" s="13"/>
      <c r="G1339" s="13"/>
      <c r="H1339" s="9" t="str">
        <f aca="false">IF(D1339="","",IFERROR(INDEX(Materiali!$C:$C,MATCH(D1339,Materiali!$A:$A,0)),0))</f>
        <v/>
      </c>
      <c r="I1339" s="9" t="str">
        <f aca="false">IF(OR(G1339="",H1339=""),"",IF(F1339="Uscita",-1,1)*G1339*H1339)</f>
        <v/>
      </c>
      <c r="J1339" s="13"/>
      <c r="K1339" s="13"/>
    </row>
    <row r="1340" customFormat="false" ht="15" hidden="false" customHeight="false" outlineLevel="0" collapsed="false">
      <c r="A1340" s="12"/>
      <c r="B1340" s="13"/>
      <c r="C1340" s="13"/>
      <c r="D1340" s="13"/>
      <c r="E1340" s="7" t="str">
        <f aca="false">IF(D1340="","",IFERROR(INDEX(Materiali!$B:$B,MATCH(D1340,Materiali!$A:$A,0)),"codice?"))</f>
        <v/>
      </c>
      <c r="F1340" s="13"/>
      <c r="G1340" s="13"/>
      <c r="H1340" s="9" t="str">
        <f aca="false">IF(D1340="","",IFERROR(INDEX(Materiali!$C:$C,MATCH(D1340,Materiali!$A:$A,0)),0))</f>
        <v/>
      </c>
      <c r="I1340" s="9" t="str">
        <f aca="false">IF(OR(G1340="",H1340=""),"",IF(F1340="Uscita",-1,1)*G1340*H1340)</f>
        <v/>
      </c>
      <c r="J1340" s="13"/>
      <c r="K1340" s="13"/>
    </row>
    <row r="1341" customFormat="false" ht="15" hidden="false" customHeight="false" outlineLevel="0" collapsed="false">
      <c r="A1341" s="12"/>
      <c r="B1341" s="13"/>
      <c r="C1341" s="13"/>
      <c r="D1341" s="13"/>
      <c r="E1341" s="7" t="str">
        <f aca="false">IF(D1341="","",IFERROR(INDEX(Materiali!$B:$B,MATCH(D1341,Materiali!$A:$A,0)),"codice?"))</f>
        <v/>
      </c>
      <c r="F1341" s="13"/>
      <c r="G1341" s="13"/>
      <c r="H1341" s="9" t="str">
        <f aca="false">IF(D1341="","",IFERROR(INDEX(Materiali!$C:$C,MATCH(D1341,Materiali!$A:$A,0)),0))</f>
        <v/>
      </c>
      <c r="I1341" s="9" t="str">
        <f aca="false">IF(OR(G1341="",H1341=""),"",IF(F1341="Uscita",-1,1)*G1341*H1341)</f>
        <v/>
      </c>
      <c r="J1341" s="13"/>
      <c r="K1341" s="13"/>
    </row>
    <row r="1342" customFormat="false" ht="15" hidden="false" customHeight="false" outlineLevel="0" collapsed="false">
      <c r="A1342" s="12"/>
      <c r="B1342" s="13"/>
      <c r="C1342" s="13"/>
      <c r="D1342" s="13"/>
      <c r="E1342" s="7" t="str">
        <f aca="false">IF(D1342="","",IFERROR(INDEX(Materiali!$B:$B,MATCH(D1342,Materiali!$A:$A,0)),"codice?"))</f>
        <v/>
      </c>
      <c r="F1342" s="13"/>
      <c r="G1342" s="13"/>
      <c r="H1342" s="9" t="str">
        <f aca="false">IF(D1342="","",IFERROR(INDEX(Materiali!$C:$C,MATCH(D1342,Materiali!$A:$A,0)),0))</f>
        <v/>
      </c>
      <c r="I1342" s="9" t="str">
        <f aca="false">IF(OR(G1342="",H1342=""),"",IF(F1342="Uscita",-1,1)*G1342*H1342)</f>
        <v/>
      </c>
      <c r="J1342" s="13"/>
      <c r="K1342" s="13"/>
    </row>
    <row r="1343" customFormat="false" ht="15" hidden="false" customHeight="false" outlineLevel="0" collapsed="false">
      <c r="A1343" s="12"/>
      <c r="B1343" s="13"/>
      <c r="C1343" s="13"/>
      <c r="D1343" s="13"/>
      <c r="E1343" s="7" t="str">
        <f aca="false">IF(D1343="","",IFERROR(INDEX(Materiali!$B:$B,MATCH(D1343,Materiali!$A:$A,0)),"codice?"))</f>
        <v/>
      </c>
      <c r="F1343" s="13"/>
      <c r="G1343" s="13"/>
      <c r="H1343" s="9" t="str">
        <f aca="false">IF(D1343="","",IFERROR(INDEX(Materiali!$C:$C,MATCH(D1343,Materiali!$A:$A,0)),0))</f>
        <v/>
      </c>
      <c r="I1343" s="9" t="str">
        <f aca="false">IF(OR(G1343="",H1343=""),"",IF(F1343="Uscita",-1,1)*G1343*H1343)</f>
        <v/>
      </c>
      <c r="J1343" s="13"/>
      <c r="K1343" s="13"/>
    </row>
    <row r="1344" customFormat="false" ht="15" hidden="false" customHeight="false" outlineLevel="0" collapsed="false">
      <c r="A1344" s="12"/>
      <c r="B1344" s="13"/>
      <c r="C1344" s="13"/>
      <c r="D1344" s="13"/>
      <c r="E1344" s="7" t="str">
        <f aca="false">IF(D1344="","",IFERROR(INDEX(Materiali!$B:$B,MATCH(D1344,Materiali!$A:$A,0)),"codice?"))</f>
        <v/>
      </c>
      <c r="F1344" s="13"/>
      <c r="G1344" s="13"/>
      <c r="H1344" s="9" t="str">
        <f aca="false">IF(D1344="","",IFERROR(INDEX(Materiali!$C:$C,MATCH(D1344,Materiali!$A:$A,0)),0))</f>
        <v/>
      </c>
      <c r="I1344" s="9" t="str">
        <f aca="false">IF(OR(G1344="",H1344=""),"",IF(F1344="Uscita",-1,1)*G1344*H1344)</f>
        <v/>
      </c>
      <c r="J1344" s="13"/>
      <c r="K1344" s="13"/>
    </row>
    <row r="1345" customFormat="false" ht="15" hidden="false" customHeight="false" outlineLevel="0" collapsed="false">
      <c r="A1345" s="12"/>
      <c r="B1345" s="13"/>
      <c r="C1345" s="13"/>
      <c r="D1345" s="13"/>
      <c r="E1345" s="7" t="str">
        <f aca="false">IF(D1345="","",IFERROR(INDEX(Materiali!$B:$B,MATCH(D1345,Materiali!$A:$A,0)),"codice?"))</f>
        <v/>
      </c>
      <c r="F1345" s="13"/>
      <c r="G1345" s="13"/>
      <c r="H1345" s="9" t="str">
        <f aca="false">IF(D1345="","",IFERROR(INDEX(Materiali!$C:$C,MATCH(D1345,Materiali!$A:$A,0)),0))</f>
        <v/>
      </c>
      <c r="I1345" s="9" t="str">
        <f aca="false">IF(OR(G1345="",H1345=""),"",IF(F1345="Uscita",-1,1)*G1345*H1345)</f>
        <v/>
      </c>
      <c r="J1345" s="13"/>
      <c r="K1345" s="13"/>
    </row>
    <row r="1346" customFormat="false" ht="15" hidden="false" customHeight="false" outlineLevel="0" collapsed="false">
      <c r="A1346" s="12"/>
      <c r="B1346" s="13"/>
      <c r="C1346" s="13"/>
      <c r="D1346" s="13"/>
      <c r="E1346" s="7" t="str">
        <f aca="false">IF(D1346="","",IFERROR(INDEX(Materiali!$B:$B,MATCH(D1346,Materiali!$A:$A,0)),"codice?"))</f>
        <v/>
      </c>
      <c r="F1346" s="13"/>
      <c r="G1346" s="13"/>
      <c r="H1346" s="9" t="str">
        <f aca="false">IF(D1346="","",IFERROR(INDEX(Materiali!$C:$C,MATCH(D1346,Materiali!$A:$A,0)),0))</f>
        <v/>
      </c>
      <c r="I1346" s="9" t="str">
        <f aca="false">IF(OR(G1346="",H1346=""),"",IF(F1346="Uscita",-1,1)*G1346*H1346)</f>
        <v/>
      </c>
      <c r="J1346" s="13"/>
      <c r="K1346" s="13"/>
    </row>
    <row r="1347" customFormat="false" ht="15" hidden="false" customHeight="false" outlineLevel="0" collapsed="false">
      <c r="A1347" s="12"/>
      <c r="B1347" s="13"/>
      <c r="C1347" s="13"/>
      <c r="D1347" s="13"/>
      <c r="E1347" s="7" t="str">
        <f aca="false">IF(D1347="","",IFERROR(INDEX(Materiali!$B:$B,MATCH(D1347,Materiali!$A:$A,0)),"codice?"))</f>
        <v/>
      </c>
      <c r="F1347" s="13"/>
      <c r="G1347" s="13"/>
      <c r="H1347" s="9" t="str">
        <f aca="false">IF(D1347="","",IFERROR(INDEX(Materiali!$C:$C,MATCH(D1347,Materiali!$A:$A,0)),0))</f>
        <v/>
      </c>
      <c r="I1347" s="9" t="str">
        <f aca="false">IF(OR(G1347="",H1347=""),"",IF(F1347="Uscita",-1,1)*G1347*H1347)</f>
        <v/>
      </c>
      <c r="J1347" s="13"/>
      <c r="K1347" s="13"/>
    </row>
    <row r="1348" customFormat="false" ht="15" hidden="false" customHeight="false" outlineLevel="0" collapsed="false">
      <c r="A1348" s="12"/>
      <c r="B1348" s="13"/>
      <c r="C1348" s="13"/>
      <c r="D1348" s="13"/>
      <c r="E1348" s="7" t="str">
        <f aca="false">IF(D1348="","",IFERROR(INDEX(Materiali!$B:$B,MATCH(D1348,Materiali!$A:$A,0)),"codice?"))</f>
        <v/>
      </c>
      <c r="F1348" s="13"/>
      <c r="G1348" s="13"/>
      <c r="H1348" s="9" t="str">
        <f aca="false">IF(D1348="","",IFERROR(INDEX(Materiali!$C:$C,MATCH(D1348,Materiali!$A:$A,0)),0))</f>
        <v/>
      </c>
      <c r="I1348" s="9" t="str">
        <f aca="false">IF(OR(G1348="",H1348=""),"",IF(F1348="Uscita",-1,1)*G1348*H1348)</f>
        <v/>
      </c>
      <c r="J1348" s="13"/>
      <c r="K1348" s="13"/>
    </row>
    <row r="1349" customFormat="false" ht="15" hidden="false" customHeight="false" outlineLevel="0" collapsed="false">
      <c r="A1349" s="12"/>
      <c r="B1349" s="13"/>
      <c r="C1349" s="13"/>
      <c r="D1349" s="13"/>
      <c r="E1349" s="7" t="str">
        <f aca="false">IF(D1349="","",IFERROR(INDEX(Materiali!$B:$B,MATCH(D1349,Materiali!$A:$A,0)),"codice?"))</f>
        <v/>
      </c>
      <c r="F1349" s="13"/>
      <c r="G1349" s="13"/>
      <c r="H1349" s="9" t="str">
        <f aca="false">IF(D1349="","",IFERROR(INDEX(Materiali!$C:$C,MATCH(D1349,Materiali!$A:$A,0)),0))</f>
        <v/>
      </c>
      <c r="I1349" s="9" t="str">
        <f aca="false">IF(OR(G1349="",H1349=""),"",IF(F1349="Uscita",-1,1)*G1349*H1349)</f>
        <v/>
      </c>
      <c r="J1349" s="13"/>
      <c r="K1349" s="13"/>
    </row>
    <row r="1350" customFormat="false" ht="15" hidden="false" customHeight="false" outlineLevel="0" collapsed="false">
      <c r="A1350" s="12"/>
      <c r="B1350" s="13"/>
      <c r="C1350" s="13"/>
      <c r="D1350" s="13"/>
      <c r="E1350" s="7" t="str">
        <f aca="false">IF(D1350="","",IFERROR(INDEX(Materiali!$B:$B,MATCH(D1350,Materiali!$A:$A,0)),"codice?"))</f>
        <v/>
      </c>
      <c r="F1350" s="13"/>
      <c r="G1350" s="13"/>
      <c r="H1350" s="9" t="str">
        <f aca="false">IF(D1350="","",IFERROR(INDEX(Materiali!$C:$C,MATCH(D1350,Materiali!$A:$A,0)),0))</f>
        <v/>
      </c>
      <c r="I1350" s="9" t="str">
        <f aca="false">IF(OR(G1350="",H1350=""),"",IF(F1350="Uscita",-1,1)*G1350*H1350)</f>
        <v/>
      </c>
      <c r="J1350" s="13"/>
      <c r="K1350" s="13"/>
    </row>
    <row r="1351" customFormat="false" ht="15" hidden="false" customHeight="false" outlineLevel="0" collapsed="false">
      <c r="A1351" s="12"/>
      <c r="B1351" s="13"/>
      <c r="C1351" s="13"/>
      <c r="D1351" s="13"/>
      <c r="E1351" s="7" t="str">
        <f aca="false">IF(D1351="","",IFERROR(INDEX(Materiali!$B:$B,MATCH(D1351,Materiali!$A:$A,0)),"codice?"))</f>
        <v/>
      </c>
      <c r="F1351" s="13"/>
      <c r="G1351" s="13"/>
      <c r="H1351" s="9" t="str">
        <f aca="false">IF(D1351="","",IFERROR(INDEX(Materiali!$C:$C,MATCH(D1351,Materiali!$A:$A,0)),0))</f>
        <v/>
      </c>
      <c r="I1351" s="9" t="str">
        <f aca="false">IF(OR(G1351="",H1351=""),"",IF(F1351="Uscita",-1,1)*G1351*H1351)</f>
        <v/>
      </c>
      <c r="J1351" s="13"/>
      <c r="K1351" s="13"/>
    </row>
    <row r="1352" customFormat="false" ht="15" hidden="false" customHeight="false" outlineLevel="0" collapsed="false">
      <c r="A1352" s="12"/>
      <c r="B1352" s="13"/>
      <c r="C1352" s="13"/>
      <c r="D1352" s="13"/>
      <c r="E1352" s="7" t="str">
        <f aca="false">IF(D1352="","",IFERROR(INDEX(Materiali!$B:$B,MATCH(D1352,Materiali!$A:$A,0)),"codice?"))</f>
        <v/>
      </c>
      <c r="F1352" s="13"/>
      <c r="G1352" s="13"/>
      <c r="H1352" s="9" t="str">
        <f aca="false">IF(D1352="","",IFERROR(INDEX(Materiali!$C:$C,MATCH(D1352,Materiali!$A:$A,0)),0))</f>
        <v/>
      </c>
      <c r="I1352" s="9" t="str">
        <f aca="false">IF(OR(G1352="",H1352=""),"",IF(F1352="Uscita",-1,1)*G1352*H1352)</f>
        <v/>
      </c>
      <c r="J1352" s="13"/>
      <c r="K1352" s="13"/>
    </row>
    <row r="1353" customFormat="false" ht="15" hidden="false" customHeight="false" outlineLevel="0" collapsed="false">
      <c r="A1353" s="12"/>
      <c r="B1353" s="13"/>
      <c r="C1353" s="13"/>
      <c r="D1353" s="13"/>
      <c r="E1353" s="7" t="str">
        <f aca="false">IF(D1353="","",IFERROR(INDEX(Materiali!$B:$B,MATCH(D1353,Materiali!$A:$A,0)),"codice?"))</f>
        <v/>
      </c>
      <c r="F1353" s="13"/>
      <c r="G1353" s="13"/>
      <c r="H1353" s="9" t="str">
        <f aca="false">IF(D1353="","",IFERROR(INDEX(Materiali!$C:$C,MATCH(D1353,Materiali!$A:$A,0)),0))</f>
        <v/>
      </c>
      <c r="I1353" s="9" t="str">
        <f aca="false">IF(OR(G1353="",H1353=""),"",IF(F1353="Uscita",-1,1)*G1353*H1353)</f>
        <v/>
      </c>
      <c r="J1353" s="13"/>
      <c r="K1353" s="13"/>
    </row>
    <row r="1354" customFormat="false" ht="15" hidden="false" customHeight="false" outlineLevel="0" collapsed="false">
      <c r="A1354" s="12"/>
      <c r="B1354" s="13"/>
      <c r="C1354" s="13"/>
      <c r="D1354" s="13"/>
      <c r="E1354" s="7" t="str">
        <f aca="false">IF(D1354="","",IFERROR(INDEX(Materiali!$B:$B,MATCH(D1354,Materiali!$A:$A,0)),"codice?"))</f>
        <v/>
      </c>
      <c r="F1354" s="13"/>
      <c r="G1354" s="13"/>
      <c r="H1354" s="9" t="str">
        <f aca="false">IF(D1354="","",IFERROR(INDEX(Materiali!$C:$C,MATCH(D1354,Materiali!$A:$A,0)),0))</f>
        <v/>
      </c>
      <c r="I1354" s="9" t="str">
        <f aca="false">IF(OR(G1354="",H1354=""),"",IF(F1354="Uscita",-1,1)*G1354*H1354)</f>
        <v/>
      </c>
      <c r="J1354" s="13"/>
      <c r="K1354" s="13"/>
    </row>
    <row r="1355" customFormat="false" ht="15" hidden="false" customHeight="false" outlineLevel="0" collapsed="false">
      <c r="A1355" s="12"/>
      <c r="B1355" s="13"/>
      <c r="C1355" s="13"/>
      <c r="D1355" s="13"/>
      <c r="E1355" s="7" t="str">
        <f aca="false">IF(D1355="","",IFERROR(INDEX(Materiali!$B:$B,MATCH(D1355,Materiali!$A:$A,0)),"codice?"))</f>
        <v/>
      </c>
      <c r="F1355" s="13"/>
      <c r="G1355" s="13"/>
      <c r="H1355" s="9" t="str">
        <f aca="false">IF(D1355="","",IFERROR(INDEX(Materiali!$C:$C,MATCH(D1355,Materiali!$A:$A,0)),0))</f>
        <v/>
      </c>
      <c r="I1355" s="9" t="str">
        <f aca="false">IF(OR(G1355="",H1355=""),"",IF(F1355="Uscita",-1,1)*G1355*H1355)</f>
        <v/>
      </c>
      <c r="J1355" s="13"/>
      <c r="K1355" s="13"/>
    </row>
    <row r="1356" customFormat="false" ht="15" hidden="false" customHeight="false" outlineLevel="0" collapsed="false">
      <c r="A1356" s="12"/>
      <c r="B1356" s="13"/>
      <c r="C1356" s="13"/>
      <c r="D1356" s="13"/>
      <c r="E1356" s="7" t="str">
        <f aca="false">IF(D1356="","",IFERROR(INDEX(Materiali!$B:$B,MATCH(D1356,Materiali!$A:$A,0)),"codice?"))</f>
        <v/>
      </c>
      <c r="F1356" s="13"/>
      <c r="G1356" s="13"/>
      <c r="H1356" s="9" t="str">
        <f aca="false">IF(D1356="","",IFERROR(INDEX(Materiali!$C:$C,MATCH(D1356,Materiali!$A:$A,0)),0))</f>
        <v/>
      </c>
      <c r="I1356" s="9" t="str">
        <f aca="false">IF(OR(G1356="",H1356=""),"",IF(F1356="Uscita",-1,1)*G1356*H1356)</f>
        <v/>
      </c>
      <c r="J1356" s="13"/>
      <c r="K1356" s="13"/>
    </row>
    <row r="1357" customFormat="false" ht="15" hidden="false" customHeight="false" outlineLevel="0" collapsed="false">
      <c r="A1357" s="12"/>
      <c r="B1357" s="13"/>
      <c r="C1357" s="13"/>
      <c r="D1357" s="13"/>
      <c r="E1357" s="7" t="str">
        <f aca="false">IF(D1357="","",IFERROR(INDEX(Materiali!$B:$B,MATCH(D1357,Materiali!$A:$A,0)),"codice?"))</f>
        <v/>
      </c>
      <c r="F1357" s="13"/>
      <c r="G1357" s="13"/>
      <c r="H1357" s="9" t="str">
        <f aca="false">IF(D1357="","",IFERROR(INDEX(Materiali!$C:$C,MATCH(D1357,Materiali!$A:$A,0)),0))</f>
        <v/>
      </c>
      <c r="I1357" s="9" t="str">
        <f aca="false">IF(OR(G1357="",H1357=""),"",IF(F1357="Uscita",-1,1)*G1357*H1357)</f>
        <v/>
      </c>
      <c r="J1357" s="13"/>
      <c r="K1357" s="13"/>
    </row>
    <row r="1358" customFormat="false" ht="15" hidden="false" customHeight="false" outlineLevel="0" collapsed="false">
      <c r="A1358" s="12"/>
      <c r="B1358" s="13"/>
      <c r="C1358" s="13"/>
      <c r="D1358" s="13"/>
      <c r="E1358" s="7" t="str">
        <f aca="false">IF(D1358="","",IFERROR(INDEX(Materiali!$B:$B,MATCH(D1358,Materiali!$A:$A,0)),"codice?"))</f>
        <v/>
      </c>
      <c r="F1358" s="13"/>
      <c r="G1358" s="13"/>
      <c r="H1358" s="9" t="str">
        <f aca="false">IF(D1358="","",IFERROR(INDEX(Materiali!$C:$C,MATCH(D1358,Materiali!$A:$A,0)),0))</f>
        <v/>
      </c>
      <c r="I1358" s="9" t="str">
        <f aca="false">IF(OR(G1358="",H1358=""),"",IF(F1358="Uscita",-1,1)*G1358*H1358)</f>
        <v/>
      </c>
      <c r="J1358" s="13"/>
      <c r="K1358" s="13"/>
    </row>
    <row r="1359" customFormat="false" ht="15" hidden="false" customHeight="false" outlineLevel="0" collapsed="false">
      <c r="A1359" s="12"/>
      <c r="B1359" s="13"/>
      <c r="C1359" s="13"/>
      <c r="D1359" s="13"/>
      <c r="E1359" s="7" t="str">
        <f aca="false">IF(D1359="","",IFERROR(INDEX(Materiali!$B:$B,MATCH(D1359,Materiali!$A:$A,0)),"codice?"))</f>
        <v/>
      </c>
      <c r="F1359" s="13"/>
      <c r="G1359" s="13"/>
      <c r="H1359" s="9" t="str">
        <f aca="false">IF(D1359="","",IFERROR(INDEX(Materiali!$C:$C,MATCH(D1359,Materiali!$A:$A,0)),0))</f>
        <v/>
      </c>
      <c r="I1359" s="9" t="str">
        <f aca="false">IF(OR(G1359="",H1359=""),"",IF(F1359="Uscita",-1,1)*G1359*H1359)</f>
        <v/>
      </c>
      <c r="J1359" s="13"/>
      <c r="K1359" s="13"/>
    </row>
    <row r="1360" customFormat="false" ht="15" hidden="false" customHeight="false" outlineLevel="0" collapsed="false">
      <c r="A1360" s="12"/>
      <c r="B1360" s="13"/>
      <c r="C1360" s="13"/>
      <c r="D1360" s="13"/>
      <c r="E1360" s="7" t="str">
        <f aca="false">IF(D1360="","",IFERROR(INDEX(Materiali!$B:$B,MATCH(D1360,Materiali!$A:$A,0)),"codice?"))</f>
        <v/>
      </c>
      <c r="F1360" s="13"/>
      <c r="G1360" s="13"/>
      <c r="H1360" s="9" t="str">
        <f aca="false">IF(D1360="","",IFERROR(INDEX(Materiali!$C:$C,MATCH(D1360,Materiali!$A:$A,0)),0))</f>
        <v/>
      </c>
      <c r="I1360" s="9" t="str">
        <f aca="false">IF(OR(G1360="",H1360=""),"",IF(F1360="Uscita",-1,1)*G1360*H1360)</f>
        <v/>
      </c>
      <c r="J1360" s="13"/>
      <c r="K1360" s="13"/>
    </row>
    <row r="1361" customFormat="false" ht="15" hidden="false" customHeight="false" outlineLevel="0" collapsed="false">
      <c r="A1361" s="12"/>
      <c r="B1361" s="13"/>
      <c r="C1361" s="13"/>
      <c r="D1361" s="13"/>
      <c r="E1361" s="7" t="str">
        <f aca="false">IF(D1361="","",IFERROR(INDEX(Materiali!$B:$B,MATCH(D1361,Materiali!$A:$A,0)),"codice?"))</f>
        <v/>
      </c>
      <c r="F1361" s="13"/>
      <c r="G1361" s="13"/>
      <c r="H1361" s="9" t="str">
        <f aca="false">IF(D1361="","",IFERROR(INDEX(Materiali!$C:$C,MATCH(D1361,Materiali!$A:$A,0)),0))</f>
        <v/>
      </c>
      <c r="I1361" s="9" t="str">
        <f aca="false">IF(OR(G1361="",H1361=""),"",IF(F1361="Uscita",-1,1)*G1361*H1361)</f>
        <v/>
      </c>
      <c r="J1361" s="13"/>
      <c r="K1361" s="13"/>
    </row>
    <row r="1362" customFormat="false" ht="15" hidden="false" customHeight="false" outlineLevel="0" collapsed="false">
      <c r="A1362" s="12"/>
      <c r="B1362" s="13"/>
      <c r="C1362" s="13"/>
      <c r="D1362" s="13"/>
      <c r="E1362" s="7" t="str">
        <f aca="false">IF(D1362="","",IFERROR(INDEX(Materiali!$B:$B,MATCH(D1362,Materiali!$A:$A,0)),"codice?"))</f>
        <v/>
      </c>
      <c r="F1362" s="13"/>
      <c r="G1362" s="13"/>
      <c r="H1362" s="9" t="str">
        <f aca="false">IF(D1362="","",IFERROR(INDEX(Materiali!$C:$C,MATCH(D1362,Materiali!$A:$A,0)),0))</f>
        <v/>
      </c>
      <c r="I1362" s="9" t="str">
        <f aca="false">IF(OR(G1362="",H1362=""),"",IF(F1362="Uscita",-1,1)*G1362*H1362)</f>
        <v/>
      </c>
      <c r="J1362" s="13"/>
      <c r="K1362" s="13"/>
    </row>
    <row r="1363" customFormat="false" ht="15" hidden="false" customHeight="false" outlineLevel="0" collapsed="false">
      <c r="A1363" s="12"/>
      <c r="B1363" s="13"/>
      <c r="C1363" s="13"/>
      <c r="D1363" s="13"/>
      <c r="E1363" s="7" t="str">
        <f aca="false">IF(D1363="","",IFERROR(INDEX(Materiali!$B:$B,MATCH(D1363,Materiali!$A:$A,0)),"codice?"))</f>
        <v/>
      </c>
      <c r="F1363" s="13"/>
      <c r="G1363" s="13"/>
      <c r="H1363" s="9" t="str">
        <f aca="false">IF(D1363="","",IFERROR(INDEX(Materiali!$C:$C,MATCH(D1363,Materiali!$A:$A,0)),0))</f>
        <v/>
      </c>
      <c r="I1363" s="9" t="str">
        <f aca="false">IF(OR(G1363="",H1363=""),"",IF(F1363="Uscita",-1,1)*G1363*H1363)</f>
        <v/>
      </c>
      <c r="J1363" s="13"/>
      <c r="K1363" s="13"/>
    </row>
    <row r="1364" customFormat="false" ht="15" hidden="false" customHeight="false" outlineLevel="0" collapsed="false">
      <c r="A1364" s="12"/>
      <c r="B1364" s="13"/>
      <c r="C1364" s="13"/>
      <c r="D1364" s="13"/>
      <c r="E1364" s="7" t="str">
        <f aca="false">IF(D1364="","",IFERROR(INDEX(Materiali!$B:$B,MATCH(D1364,Materiali!$A:$A,0)),"codice?"))</f>
        <v/>
      </c>
      <c r="F1364" s="13"/>
      <c r="G1364" s="13"/>
      <c r="H1364" s="9" t="str">
        <f aca="false">IF(D1364="","",IFERROR(INDEX(Materiali!$C:$C,MATCH(D1364,Materiali!$A:$A,0)),0))</f>
        <v/>
      </c>
      <c r="I1364" s="9" t="str">
        <f aca="false">IF(OR(G1364="",H1364=""),"",IF(F1364="Uscita",-1,1)*G1364*H1364)</f>
        <v/>
      </c>
      <c r="J1364" s="13"/>
      <c r="K1364" s="13"/>
    </row>
    <row r="1365" customFormat="false" ht="15" hidden="false" customHeight="false" outlineLevel="0" collapsed="false">
      <c r="A1365" s="12"/>
      <c r="B1365" s="13"/>
      <c r="C1365" s="13"/>
      <c r="D1365" s="13"/>
      <c r="E1365" s="7" t="str">
        <f aca="false">IF(D1365="","",IFERROR(INDEX(Materiali!$B:$B,MATCH(D1365,Materiali!$A:$A,0)),"codice?"))</f>
        <v/>
      </c>
      <c r="F1365" s="13"/>
      <c r="G1365" s="13"/>
      <c r="H1365" s="9" t="str">
        <f aca="false">IF(D1365="","",IFERROR(INDEX(Materiali!$C:$C,MATCH(D1365,Materiali!$A:$A,0)),0))</f>
        <v/>
      </c>
      <c r="I1365" s="9" t="str">
        <f aca="false">IF(OR(G1365="",H1365=""),"",IF(F1365="Uscita",-1,1)*G1365*H1365)</f>
        <v/>
      </c>
      <c r="J1365" s="13"/>
      <c r="K1365" s="13"/>
    </row>
    <row r="1366" customFormat="false" ht="15" hidden="false" customHeight="false" outlineLevel="0" collapsed="false">
      <c r="A1366" s="12"/>
      <c r="B1366" s="13"/>
      <c r="C1366" s="13"/>
      <c r="D1366" s="13"/>
      <c r="E1366" s="7" t="str">
        <f aca="false">IF(D1366="","",IFERROR(INDEX(Materiali!$B:$B,MATCH(D1366,Materiali!$A:$A,0)),"codice?"))</f>
        <v/>
      </c>
      <c r="F1366" s="13"/>
      <c r="G1366" s="13"/>
      <c r="H1366" s="9" t="str">
        <f aca="false">IF(D1366="","",IFERROR(INDEX(Materiali!$C:$C,MATCH(D1366,Materiali!$A:$A,0)),0))</f>
        <v/>
      </c>
      <c r="I1366" s="9" t="str">
        <f aca="false">IF(OR(G1366="",H1366=""),"",IF(F1366="Uscita",-1,1)*G1366*H1366)</f>
        <v/>
      </c>
      <c r="J1366" s="13"/>
      <c r="K1366" s="13"/>
    </row>
    <row r="1367" customFormat="false" ht="15" hidden="false" customHeight="false" outlineLevel="0" collapsed="false">
      <c r="A1367" s="12"/>
      <c r="B1367" s="13"/>
      <c r="C1367" s="13"/>
      <c r="D1367" s="13"/>
      <c r="E1367" s="7" t="str">
        <f aca="false">IF(D1367="","",IFERROR(INDEX(Materiali!$B:$B,MATCH(D1367,Materiali!$A:$A,0)),"codice?"))</f>
        <v/>
      </c>
      <c r="F1367" s="13"/>
      <c r="G1367" s="13"/>
      <c r="H1367" s="9" t="str">
        <f aca="false">IF(D1367="","",IFERROR(INDEX(Materiali!$C:$C,MATCH(D1367,Materiali!$A:$A,0)),0))</f>
        <v/>
      </c>
      <c r="I1367" s="9" t="str">
        <f aca="false">IF(OR(G1367="",H1367=""),"",IF(F1367="Uscita",-1,1)*G1367*H1367)</f>
        <v/>
      </c>
      <c r="J1367" s="13"/>
      <c r="K1367" s="13"/>
    </row>
    <row r="1368" customFormat="false" ht="15" hidden="false" customHeight="false" outlineLevel="0" collapsed="false">
      <c r="A1368" s="12"/>
      <c r="B1368" s="13"/>
      <c r="C1368" s="13"/>
      <c r="D1368" s="13"/>
      <c r="E1368" s="7" t="str">
        <f aca="false">IF(D1368="","",IFERROR(INDEX(Materiali!$B:$B,MATCH(D1368,Materiali!$A:$A,0)),"codice?"))</f>
        <v/>
      </c>
      <c r="F1368" s="13"/>
      <c r="G1368" s="13"/>
      <c r="H1368" s="9" t="str">
        <f aca="false">IF(D1368="","",IFERROR(INDEX(Materiali!$C:$C,MATCH(D1368,Materiali!$A:$A,0)),0))</f>
        <v/>
      </c>
      <c r="I1368" s="9" t="str">
        <f aca="false">IF(OR(G1368="",H1368=""),"",IF(F1368="Uscita",-1,1)*G1368*H1368)</f>
        <v/>
      </c>
      <c r="J1368" s="13"/>
      <c r="K1368" s="13"/>
    </row>
    <row r="1369" customFormat="false" ht="15" hidden="false" customHeight="false" outlineLevel="0" collapsed="false">
      <c r="A1369" s="12"/>
      <c r="B1369" s="13"/>
      <c r="C1369" s="13"/>
      <c r="D1369" s="13"/>
      <c r="E1369" s="7" t="str">
        <f aca="false">IF(D1369="","",IFERROR(INDEX(Materiali!$B:$B,MATCH(D1369,Materiali!$A:$A,0)),"codice?"))</f>
        <v/>
      </c>
      <c r="F1369" s="13"/>
      <c r="G1369" s="13"/>
      <c r="H1369" s="9" t="str">
        <f aca="false">IF(D1369="","",IFERROR(INDEX(Materiali!$C:$C,MATCH(D1369,Materiali!$A:$A,0)),0))</f>
        <v/>
      </c>
      <c r="I1369" s="9" t="str">
        <f aca="false">IF(OR(G1369="",H1369=""),"",IF(F1369="Uscita",-1,1)*G1369*H1369)</f>
        <v/>
      </c>
      <c r="J1369" s="13"/>
      <c r="K1369" s="13"/>
    </row>
    <row r="1370" customFormat="false" ht="15" hidden="false" customHeight="false" outlineLevel="0" collapsed="false">
      <c r="A1370" s="12"/>
      <c r="B1370" s="13"/>
      <c r="C1370" s="13"/>
      <c r="D1370" s="13"/>
      <c r="E1370" s="7" t="str">
        <f aca="false">IF(D1370="","",IFERROR(INDEX(Materiali!$B:$B,MATCH(D1370,Materiali!$A:$A,0)),"codice?"))</f>
        <v/>
      </c>
      <c r="F1370" s="13"/>
      <c r="G1370" s="13"/>
      <c r="H1370" s="9" t="str">
        <f aca="false">IF(D1370="","",IFERROR(INDEX(Materiali!$C:$C,MATCH(D1370,Materiali!$A:$A,0)),0))</f>
        <v/>
      </c>
      <c r="I1370" s="9" t="str">
        <f aca="false">IF(OR(G1370="",H1370=""),"",IF(F1370="Uscita",-1,1)*G1370*H1370)</f>
        <v/>
      </c>
      <c r="J1370" s="13"/>
      <c r="K1370" s="13"/>
    </row>
    <row r="1371" customFormat="false" ht="15" hidden="false" customHeight="false" outlineLevel="0" collapsed="false">
      <c r="A1371" s="12"/>
      <c r="B1371" s="13"/>
      <c r="C1371" s="13"/>
      <c r="D1371" s="13"/>
      <c r="E1371" s="7" t="str">
        <f aca="false">IF(D1371="","",IFERROR(INDEX(Materiali!$B:$B,MATCH(D1371,Materiali!$A:$A,0)),"codice?"))</f>
        <v/>
      </c>
      <c r="F1371" s="13"/>
      <c r="G1371" s="13"/>
      <c r="H1371" s="9" t="str">
        <f aca="false">IF(D1371="","",IFERROR(INDEX(Materiali!$C:$C,MATCH(D1371,Materiali!$A:$A,0)),0))</f>
        <v/>
      </c>
      <c r="I1371" s="9" t="str">
        <f aca="false">IF(OR(G1371="",H1371=""),"",IF(F1371="Uscita",-1,1)*G1371*H1371)</f>
        <v/>
      </c>
      <c r="J1371" s="13"/>
      <c r="K1371" s="13"/>
    </row>
    <row r="1372" customFormat="false" ht="15" hidden="false" customHeight="false" outlineLevel="0" collapsed="false">
      <c r="A1372" s="12"/>
      <c r="B1372" s="13"/>
      <c r="C1372" s="13"/>
      <c r="D1372" s="13"/>
      <c r="E1372" s="7" t="str">
        <f aca="false">IF(D1372="","",IFERROR(INDEX(Materiali!$B:$B,MATCH(D1372,Materiali!$A:$A,0)),"codice?"))</f>
        <v/>
      </c>
      <c r="F1372" s="13"/>
      <c r="G1372" s="13"/>
      <c r="H1372" s="9" t="str">
        <f aca="false">IF(D1372="","",IFERROR(INDEX(Materiali!$C:$C,MATCH(D1372,Materiali!$A:$A,0)),0))</f>
        <v/>
      </c>
      <c r="I1372" s="9" t="str">
        <f aca="false">IF(OR(G1372="",H1372=""),"",IF(F1372="Uscita",-1,1)*G1372*H1372)</f>
        <v/>
      </c>
      <c r="J1372" s="13"/>
      <c r="K1372" s="13"/>
    </row>
    <row r="1373" customFormat="false" ht="15" hidden="false" customHeight="false" outlineLevel="0" collapsed="false">
      <c r="A1373" s="12"/>
      <c r="B1373" s="13"/>
      <c r="C1373" s="13"/>
      <c r="D1373" s="13"/>
      <c r="E1373" s="7" t="str">
        <f aca="false">IF(D1373="","",IFERROR(INDEX(Materiali!$B:$B,MATCH(D1373,Materiali!$A:$A,0)),"codice?"))</f>
        <v/>
      </c>
      <c r="F1373" s="13"/>
      <c r="G1373" s="13"/>
      <c r="H1373" s="9" t="str">
        <f aca="false">IF(D1373="","",IFERROR(INDEX(Materiali!$C:$C,MATCH(D1373,Materiali!$A:$A,0)),0))</f>
        <v/>
      </c>
      <c r="I1373" s="9" t="str">
        <f aca="false">IF(OR(G1373="",H1373=""),"",IF(F1373="Uscita",-1,1)*G1373*H1373)</f>
        <v/>
      </c>
      <c r="J1373" s="13"/>
      <c r="K1373" s="13"/>
    </row>
    <row r="1374" customFormat="false" ht="15" hidden="false" customHeight="false" outlineLevel="0" collapsed="false">
      <c r="A1374" s="12"/>
      <c r="B1374" s="13"/>
      <c r="C1374" s="13"/>
      <c r="D1374" s="13"/>
      <c r="E1374" s="7" t="str">
        <f aca="false">IF(D1374="","",IFERROR(INDEX(Materiali!$B:$B,MATCH(D1374,Materiali!$A:$A,0)),"codice?"))</f>
        <v/>
      </c>
      <c r="F1374" s="13"/>
      <c r="G1374" s="13"/>
      <c r="H1374" s="9" t="str">
        <f aca="false">IF(D1374="","",IFERROR(INDEX(Materiali!$C:$C,MATCH(D1374,Materiali!$A:$A,0)),0))</f>
        <v/>
      </c>
      <c r="I1374" s="9" t="str">
        <f aca="false">IF(OR(G1374="",H1374=""),"",IF(F1374="Uscita",-1,1)*G1374*H1374)</f>
        <v/>
      </c>
      <c r="J1374" s="13"/>
      <c r="K1374" s="13"/>
    </row>
    <row r="1375" customFormat="false" ht="15" hidden="false" customHeight="false" outlineLevel="0" collapsed="false">
      <c r="A1375" s="12"/>
      <c r="B1375" s="13"/>
      <c r="C1375" s="13"/>
      <c r="D1375" s="13"/>
      <c r="E1375" s="7" t="str">
        <f aca="false">IF(D1375="","",IFERROR(INDEX(Materiali!$B:$B,MATCH(D1375,Materiali!$A:$A,0)),"codice?"))</f>
        <v/>
      </c>
      <c r="F1375" s="13"/>
      <c r="G1375" s="13"/>
      <c r="H1375" s="9" t="str">
        <f aca="false">IF(D1375="","",IFERROR(INDEX(Materiali!$C:$C,MATCH(D1375,Materiali!$A:$A,0)),0))</f>
        <v/>
      </c>
      <c r="I1375" s="9" t="str">
        <f aca="false">IF(OR(G1375="",H1375=""),"",IF(F1375="Uscita",-1,1)*G1375*H1375)</f>
        <v/>
      </c>
      <c r="J1375" s="13"/>
      <c r="K1375" s="13"/>
    </row>
    <row r="1376" customFormat="false" ht="15" hidden="false" customHeight="false" outlineLevel="0" collapsed="false">
      <c r="A1376" s="12"/>
      <c r="B1376" s="13"/>
      <c r="C1376" s="13"/>
      <c r="D1376" s="13"/>
      <c r="E1376" s="7" t="str">
        <f aca="false">IF(D1376="","",IFERROR(INDEX(Materiali!$B:$B,MATCH(D1376,Materiali!$A:$A,0)),"codice?"))</f>
        <v/>
      </c>
      <c r="F1376" s="13"/>
      <c r="G1376" s="13"/>
      <c r="H1376" s="9" t="str">
        <f aca="false">IF(D1376="","",IFERROR(INDEX(Materiali!$C:$C,MATCH(D1376,Materiali!$A:$A,0)),0))</f>
        <v/>
      </c>
      <c r="I1376" s="9" t="str">
        <f aca="false">IF(OR(G1376="",H1376=""),"",IF(F1376="Uscita",-1,1)*G1376*H1376)</f>
        <v/>
      </c>
      <c r="J1376" s="13"/>
      <c r="K1376" s="13"/>
    </row>
    <row r="1377" customFormat="false" ht="15" hidden="false" customHeight="false" outlineLevel="0" collapsed="false">
      <c r="A1377" s="12"/>
      <c r="B1377" s="13"/>
      <c r="C1377" s="13"/>
      <c r="D1377" s="13"/>
      <c r="E1377" s="7" t="str">
        <f aca="false">IF(D1377="","",IFERROR(INDEX(Materiali!$B:$B,MATCH(D1377,Materiali!$A:$A,0)),"codice?"))</f>
        <v/>
      </c>
      <c r="F1377" s="13"/>
      <c r="G1377" s="13"/>
      <c r="H1377" s="9" t="str">
        <f aca="false">IF(D1377="","",IFERROR(INDEX(Materiali!$C:$C,MATCH(D1377,Materiali!$A:$A,0)),0))</f>
        <v/>
      </c>
      <c r="I1377" s="9" t="str">
        <f aca="false">IF(OR(G1377="",H1377=""),"",IF(F1377="Uscita",-1,1)*G1377*H1377)</f>
        <v/>
      </c>
      <c r="J1377" s="13"/>
      <c r="K1377" s="13"/>
    </row>
    <row r="1378" customFormat="false" ht="15" hidden="false" customHeight="false" outlineLevel="0" collapsed="false">
      <c r="A1378" s="12"/>
      <c r="B1378" s="13"/>
      <c r="C1378" s="13"/>
      <c r="D1378" s="13"/>
      <c r="E1378" s="7" t="str">
        <f aca="false">IF(D1378="","",IFERROR(INDEX(Materiali!$B:$B,MATCH(D1378,Materiali!$A:$A,0)),"codice?"))</f>
        <v/>
      </c>
      <c r="F1378" s="13"/>
      <c r="G1378" s="13"/>
      <c r="H1378" s="9" t="str">
        <f aca="false">IF(D1378="","",IFERROR(INDEX(Materiali!$C:$C,MATCH(D1378,Materiali!$A:$A,0)),0))</f>
        <v/>
      </c>
      <c r="I1378" s="9" t="str">
        <f aca="false">IF(OR(G1378="",H1378=""),"",IF(F1378="Uscita",-1,1)*G1378*H1378)</f>
        <v/>
      </c>
      <c r="J1378" s="13"/>
      <c r="K1378" s="13"/>
    </row>
    <row r="1379" customFormat="false" ht="15" hidden="false" customHeight="false" outlineLevel="0" collapsed="false">
      <c r="A1379" s="12"/>
      <c r="B1379" s="13"/>
      <c r="C1379" s="13"/>
      <c r="D1379" s="13"/>
      <c r="E1379" s="7" t="str">
        <f aca="false">IF(D1379="","",IFERROR(INDEX(Materiali!$B:$B,MATCH(D1379,Materiali!$A:$A,0)),"codice?"))</f>
        <v/>
      </c>
      <c r="F1379" s="13"/>
      <c r="G1379" s="13"/>
      <c r="H1379" s="9" t="str">
        <f aca="false">IF(D1379="","",IFERROR(INDEX(Materiali!$C:$C,MATCH(D1379,Materiali!$A:$A,0)),0))</f>
        <v/>
      </c>
      <c r="I1379" s="9" t="str">
        <f aca="false">IF(OR(G1379="",H1379=""),"",IF(F1379="Uscita",-1,1)*G1379*H1379)</f>
        <v/>
      </c>
      <c r="J1379" s="13"/>
      <c r="K1379" s="13"/>
    </row>
    <row r="1380" customFormat="false" ht="15" hidden="false" customHeight="false" outlineLevel="0" collapsed="false">
      <c r="A1380" s="12"/>
      <c r="B1380" s="13"/>
      <c r="C1380" s="13"/>
      <c r="D1380" s="13"/>
      <c r="E1380" s="7" t="str">
        <f aca="false">IF(D1380="","",IFERROR(INDEX(Materiali!$B:$B,MATCH(D1380,Materiali!$A:$A,0)),"codice?"))</f>
        <v/>
      </c>
      <c r="F1380" s="13"/>
      <c r="G1380" s="13"/>
      <c r="H1380" s="9" t="str">
        <f aca="false">IF(D1380="","",IFERROR(INDEX(Materiali!$C:$C,MATCH(D1380,Materiali!$A:$A,0)),0))</f>
        <v/>
      </c>
      <c r="I1380" s="9" t="str">
        <f aca="false">IF(OR(G1380="",H1380=""),"",IF(F1380="Uscita",-1,1)*G1380*H1380)</f>
        <v/>
      </c>
      <c r="J1380" s="13"/>
      <c r="K1380" s="13"/>
    </row>
    <row r="1381" customFormat="false" ht="15" hidden="false" customHeight="false" outlineLevel="0" collapsed="false">
      <c r="A1381" s="12"/>
      <c r="B1381" s="13"/>
      <c r="C1381" s="13"/>
      <c r="D1381" s="13"/>
      <c r="E1381" s="7" t="str">
        <f aca="false">IF(D1381="","",IFERROR(INDEX(Materiali!$B:$B,MATCH(D1381,Materiali!$A:$A,0)),"codice?"))</f>
        <v/>
      </c>
      <c r="F1381" s="13"/>
      <c r="G1381" s="13"/>
      <c r="H1381" s="9" t="str">
        <f aca="false">IF(D1381="","",IFERROR(INDEX(Materiali!$C:$C,MATCH(D1381,Materiali!$A:$A,0)),0))</f>
        <v/>
      </c>
      <c r="I1381" s="9" t="str">
        <f aca="false">IF(OR(G1381="",H1381=""),"",IF(F1381="Uscita",-1,1)*G1381*H1381)</f>
        <v/>
      </c>
      <c r="J1381" s="13"/>
      <c r="K1381" s="13"/>
    </row>
    <row r="1382" customFormat="false" ht="15" hidden="false" customHeight="false" outlineLevel="0" collapsed="false">
      <c r="A1382" s="12"/>
      <c r="B1382" s="13"/>
      <c r="C1382" s="13"/>
      <c r="D1382" s="13"/>
      <c r="E1382" s="7" t="str">
        <f aca="false">IF(D1382="","",IFERROR(INDEX(Materiali!$B:$B,MATCH(D1382,Materiali!$A:$A,0)),"codice?"))</f>
        <v/>
      </c>
      <c r="F1382" s="13"/>
      <c r="G1382" s="13"/>
      <c r="H1382" s="9" t="str">
        <f aca="false">IF(D1382="","",IFERROR(INDEX(Materiali!$C:$C,MATCH(D1382,Materiali!$A:$A,0)),0))</f>
        <v/>
      </c>
      <c r="I1382" s="9" t="str">
        <f aca="false">IF(OR(G1382="",H1382=""),"",IF(F1382="Uscita",-1,1)*G1382*H1382)</f>
        <v/>
      </c>
      <c r="J1382" s="13"/>
      <c r="K1382" s="13"/>
    </row>
    <row r="1383" customFormat="false" ht="15" hidden="false" customHeight="false" outlineLevel="0" collapsed="false">
      <c r="A1383" s="12"/>
      <c r="B1383" s="13"/>
      <c r="C1383" s="13"/>
      <c r="D1383" s="13"/>
      <c r="E1383" s="7" t="str">
        <f aca="false">IF(D1383="","",IFERROR(INDEX(Materiali!$B:$B,MATCH(D1383,Materiali!$A:$A,0)),"codice?"))</f>
        <v/>
      </c>
      <c r="F1383" s="13"/>
      <c r="G1383" s="13"/>
      <c r="H1383" s="9" t="str">
        <f aca="false">IF(D1383="","",IFERROR(INDEX(Materiali!$C:$C,MATCH(D1383,Materiali!$A:$A,0)),0))</f>
        <v/>
      </c>
      <c r="I1383" s="9" t="str">
        <f aca="false">IF(OR(G1383="",H1383=""),"",IF(F1383="Uscita",-1,1)*G1383*H1383)</f>
        <v/>
      </c>
      <c r="J1383" s="13"/>
      <c r="K1383" s="13"/>
    </row>
    <row r="1384" customFormat="false" ht="15" hidden="false" customHeight="false" outlineLevel="0" collapsed="false">
      <c r="A1384" s="12"/>
      <c r="B1384" s="13"/>
      <c r="C1384" s="13"/>
      <c r="D1384" s="13"/>
      <c r="E1384" s="7" t="str">
        <f aca="false">IF(D1384="","",IFERROR(INDEX(Materiali!$B:$B,MATCH(D1384,Materiali!$A:$A,0)),"codice?"))</f>
        <v/>
      </c>
      <c r="F1384" s="13"/>
      <c r="G1384" s="13"/>
      <c r="H1384" s="9" t="str">
        <f aca="false">IF(D1384="","",IFERROR(INDEX(Materiali!$C:$C,MATCH(D1384,Materiali!$A:$A,0)),0))</f>
        <v/>
      </c>
      <c r="I1384" s="9" t="str">
        <f aca="false">IF(OR(G1384="",H1384=""),"",IF(F1384="Uscita",-1,1)*G1384*H1384)</f>
        <v/>
      </c>
      <c r="J1384" s="13"/>
      <c r="K1384" s="13"/>
    </row>
    <row r="1385" customFormat="false" ht="15" hidden="false" customHeight="false" outlineLevel="0" collapsed="false">
      <c r="A1385" s="12"/>
      <c r="B1385" s="13"/>
      <c r="C1385" s="13"/>
      <c r="D1385" s="13"/>
      <c r="E1385" s="7" t="str">
        <f aca="false">IF(D1385="","",IFERROR(INDEX(Materiali!$B:$B,MATCH(D1385,Materiali!$A:$A,0)),"codice?"))</f>
        <v/>
      </c>
      <c r="F1385" s="13"/>
      <c r="G1385" s="13"/>
      <c r="H1385" s="9" t="str">
        <f aca="false">IF(D1385="","",IFERROR(INDEX(Materiali!$C:$C,MATCH(D1385,Materiali!$A:$A,0)),0))</f>
        <v/>
      </c>
      <c r="I1385" s="9" t="str">
        <f aca="false">IF(OR(G1385="",H1385=""),"",IF(F1385="Uscita",-1,1)*G1385*H1385)</f>
        <v/>
      </c>
      <c r="J1385" s="13"/>
      <c r="K1385" s="13"/>
    </row>
    <row r="1386" customFormat="false" ht="15" hidden="false" customHeight="false" outlineLevel="0" collapsed="false">
      <c r="A1386" s="12"/>
      <c r="B1386" s="13"/>
      <c r="C1386" s="13"/>
      <c r="D1386" s="13"/>
      <c r="E1386" s="7" t="str">
        <f aca="false">IF(D1386="","",IFERROR(INDEX(Materiali!$B:$B,MATCH(D1386,Materiali!$A:$A,0)),"codice?"))</f>
        <v/>
      </c>
      <c r="F1386" s="13"/>
      <c r="G1386" s="13"/>
      <c r="H1386" s="9" t="str">
        <f aca="false">IF(D1386="","",IFERROR(INDEX(Materiali!$C:$C,MATCH(D1386,Materiali!$A:$A,0)),0))</f>
        <v/>
      </c>
      <c r="I1386" s="9" t="str">
        <f aca="false">IF(OR(G1386="",H1386=""),"",IF(F1386="Uscita",-1,1)*G1386*H1386)</f>
        <v/>
      </c>
      <c r="J1386" s="13"/>
      <c r="K1386" s="13"/>
    </row>
    <row r="1387" customFormat="false" ht="15" hidden="false" customHeight="false" outlineLevel="0" collapsed="false">
      <c r="A1387" s="12"/>
      <c r="B1387" s="13"/>
      <c r="C1387" s="13"/>
      <c r="D1387" s="13"/>
      <c r="E1387" s="7" t="str">
        <f aca="false">IF(D1387="","",IFERROR(INDEX(Materiali!$B:$B,MATCH(D1387,Materiali!$A:$A,0)),"codice?"))</f>
        <v/>
      </c>
      <c r="F1387" s="13"/>
      <c r="G1387" s="13"/>
      <c r="H1387" s="9" t="str">
        <f aca="false">IF(D1387="","",IFERROR(INDEX(Materiali!$C:$C,MATCH(D1387,Materiali!$A:$A,0)),0))</f>
        <v/>
      </c>
      <c r="I1387" s="9" t="str">
        <f aca="false">IF(OR(G1387="",H1387=""),"",IF(F1387="Uscita",-1,1)*G1387*H1387)</f>
        <v/>
      </c>
      <c r="J1387" s="13"/>
      <c r="K1387" s="13"/>
    </row>
    <row r="1388" customFormat="false" ht="15" hidden="false" customHeight="false" outlineLevel="0" collapsed="false">
      <c r="A1388" s="12"/>
      <c r="B1388" s="13"/>
      <c r="C1388" s="13"/>
      <c r="D1388" s="13"/>
      <c r="E1388" s="7" t="str">
        <f aca="false">IF(D1388="","",IFERROR(INDEX(Materiali!$B:$B,MATCH(D1388,Materiali!$A:$A,0)),"codice?"))</f>
        <v/>
      </c>
      <c r="F1388" s="13"/>
      <c r="G1388" s="13"/>
      <c r="H1388" s="9" t="str">
        <f aca="false">IF(D1388="","",IFERROR(INDEX(Materiali!$C:$C,MATCH(D1388,Materiali!$A:$A,0)),0))</f>
        <v/>
      </c>
      <c r="I1388" s="9" t="str">
        <f aca="false">IF(OR(G1388="",H1388=""),"",IF(F1388="Uscita",-1,1)*G1388*H1388)</f>
        <v/>
      </c>
      <c r="J1388" s="13"/>
      <c r="K1388" s="13"/>
    </row>
    <row r="1389" customFormat="false" ht="15" hidden="false" customHeight="false" outlineLevel="0" collapsed="false">
      <c r="A1389" s="12"/>
      <c r="B1389" s="13"/>
      <c r="C1389" s="13"/>
      <c r="D1389" s="13"/>
      <c r="E1389" s="7" t="str">
        <f aca="false">IF(D1389="","",IFERROR(INDEX(Materiali!$B:$B,MATCH(D1389,Materiali!$A:$A,0)),"codice?"))</f>
        <v/>
      </c>
      <c r="F1389" s="13"/>
      <c r="G1389" s="13"/>
      <c r="H1389" s="9" t="str">
        <f aca="false">IF(D1389="","",IFERROR(INDEX(Materiali!$C:$C,MATCH(D1389,Materiali!$A:$A,0)),0))</f>
        <v/>
      </c>
      <c r="I1389" s="9" t="str">
        <f aca="false">IF(OR(G1389="",H1389=""),"",IF(F1389="Uscita",-1,1)*G1389*H1389)</f>
        <v/>
      </c>
      <c r="J1389" s="13"/>
      <c r="K1389" s="13"/>
    </row>
    <row r="1390" customFormat="false" ht="15" hidden="false" customHeight="false" outlineLevel="0" collapsed="false">
      <c r="A1390" s="12"/>
      <c r="B1390" s="13"/>
      <c r="C1390" s="13"/>
      <c r="D1390" s="13"/>
      <c r="E1390" s="7" t="str">
        <f aca="false">IF(D1390="","",IFERROR(INDEX(Materiali!$B:$B,MATCH(D1390,Materiali!$A:$A,0)),"codice?"))</f>
        <v/>
      </c>
      <c r="F1390" s="13"/>
      <c r="G1390" s="13"/>
      <c r="H1390" s="9" t="str">
        <f aca="false">IF(D1390="","",IFERROR(INDEX(Materiali!$C:$C,MATCH(D1390,Materiali!$A:$A,0)),0))</f>
        <v/>
      </c>
      <c r="I1390" s="9" t="str">
        <f aca="false">IF(OR(G1390="",H1390=""),"",IF(F1390="Uscita",-1,1)*G1390*H1390)</f>
        <v/>
      </c>
      <c r="J1390" s="13"/>
      <c r="K1390" s="13"/>
    </row>
    <row r="1391" customFormat="false" ht="15" hidden="false" customHeight="false" outlineLevel="0" collapsed="false">
      <c r="A1391" s="12"/>
      <c r="B1391" s="13"/>
      <c r="C1391" s="13"/>
      <c r="D1391" s="13"/>
      <c r="E1391" s="7" t="str">
        <f aca="false">IF(D1391="","",IFERROR(INDEX(Materiali!$B:$B,MATCH(D1391,Materiali!$A:$A,0)),"codice?"))</f>
        <v/>
      </c>
      <c r="F1391" s="13"/>
      <c r="G1391" s="13"/>
      <c r="H1391" s="9" t="str">
        <f aca="false">IF(D1391="","",IFERROR(INDEX(Materiali!$C:$C,MATCH(D1391,Materiali!$A:$A,0)),0))</f>
        <v/>
      </c>
      <c r="I1391" s="9" t="str">
        <f aca="false">IF(OR(G1391="",H1391=""),"",IF(F1391="Uscita",-1,1)*G1391*H1391)</f>
        <v/>
      </c>
      <c r="J1391" s="13"/>
      <c r="K1391" s="13"/>
    </row>
    <row r="1392" customFormat="false" ht="15" hidden="false" customHeight="false" outlineLevel="0" collapsed="false">
      <c r="A1392" s="12"/>
      <c r="B1392" s="13"/>
      <c r="C1392" s="13"/>
      <c r="D1392" s="13"/>
      <c r="E1392" s="7" t="str">
        <f aca="false">IF(D1392="","",IFERROR(INDEX(Materiali!$B:$B,MATCH(D1392,Materiali!$A:$A,0)),"codice?"))</f>
        <v/>
      </c>
      <c r="F1392" s="13"/>
      <c r="G1392" s="13"/>
      <c r="H1392" s="9" t="str">
        <f aca="false">IF(D1392="","",IFERROR(INDEX(Materiali!$C:$C,MATCH(D1392,Materiali!$A:$A,0)),0))</f>
        <v/>
      </c>
      <c r="I1392" s="9" t="str">
        <f aca="false">IF(OR(G1392="",H1392=""),"",IF(F1392="Uscita",-1,1)*G1392*H1392)</f>
        <v/>
      </c>
      <c r="J1392" s="13"/>
      <c r="K1392" s="13"/>
    </row>
    <row r="1393" customFormat="false" ht="15" hidden="false" customHeight="false" outlineLevel="0" collapsed="false">
      <c r="A1393" s="12"/>
      <c r="B1393" s="13"/>
      <c r="C1393" s="13"/>
      <c r="D1393" s="13"/>
      <c r="E1393" s="7" t="str">
        <f aca="false">IF(D1393="","",IFERROR(INDEX(Materiali!$B:$B,MATCH(D1393,Materiali!$A:$A,0)),"codice?"))</f>
        <v/>
      </c>
      <c r="F1393" s="13"/>
      <c r="G1393" s="13"/>
      <c r="H1393" s="9" t="str">
        <f aca="false">IF(D1393="","",IFERROR(INDEX(Materiali!$C:$C,MATCH(D1393,Materiali!$A:$A,0)),0))</f>
        <v/>
      </c>
      <c r="I1393" s="9" t="str">
        <f aca="false">IF(OR(G1393="",H1393=""),"",IF(F1393="Uscita",-1,1)*G1393*H1393)</f>
        <v/>
      </c>
      <c r="J1393" s="13"/>
      <c r="K1393" s="13"/>
    </row>
    <row r="1394" customFormat="false" ht="15" hidden="false" customHeight="false" outlineLevel="0" collapsed="false">
      <c r="A1394" s="12"/>
      <c r="B1394" s="13"/>
      <c r="C1394" s="13"/>
      <c r="D1394" s="13"/>
      <c r="E1394" s="7" t="str">
        <f aca="false">IF(D1394="","",IFERROR(INDEX(Materiali!$B:$B,MATCH(D1394,Materiali!$A:$A,0)),"codice?"))</f>
        <v/>
      </c>
      <c r="F1394" s="13"/>
      <c r="G1394" s="13"/>
      <c r="H1394" s="9" t="str">
        <f aca="false">IF(D1394="","",IFERROR(INDEX(Materiali!$C:$C,MATCH(D1394,Materiali!$A:$A,0)),0))</f>
        <v/>
      </c>
      <c r="I1394" s="9" t="str">
        <f aca="false">IF(OR(G1394="",H1394=""),"",IF(F1394="Uscita",-1,1)*G1394*H1394)</f>
        <v/>
      </c>
      <c r="J1394" s="13"/>
      <c r="K1394" s="13"/>
    </row>
    <row r="1395" customFormat="false" ht="15" hidden="false" customHeight="false" outlineLevel="0" collapsed="false">
      <c r="A1395" s="12"/>
      <c r="B1395" s="13"/>
      <c r="C1395" s="13"/>
      <c r="D1395" s="13"/>
      <c r="E1395" s="7" t="str">
        <f aca="false">IF(D1395="","",IFERROR(INDEX(Materiali!$B:$B,MATCH(D1395,Materiali!$A:$A,0)),"codice?"))</f>
        <v/>
      </c>
      <c r="F1395" s="13"/>
      <c r="G1395" s="13"/>
      <c r="H1395" s="9" t="str">
        <f aca="false">IF(D1395="","",IFERROR(INDEX(Materiali!$C:$C,MATCH(D1395,Materiali!$A:$A,0)),0))</f>
        <v/>
      </c>
      <c r="I1395" s="9" t="str">
        <f aca="false">IF(OR(G1395="",H1395=""),"",IF(F1395="Uscita",-1,1)*G1395*H1395)</f>
        <v/>
      </c>
      <c r="J1395" s="13"/>
      <c r="K1395" s="13"/>
    </row>
    <row r="1396" customFormat="false" ht="15" hidden="false" customHeight="false" outlineLevel="0" collapsed="false">
      <c r="A1396" s="12"/>
      <c r="B1396" s="13"/>
      <c r="C1396" s="13"/>
      <c r="D1396" s="13"/>
      <c r="E1396" s="7" t="str">
        <f aca="false">IF(D1396="","",IFERROR(INDEX(Materiali!$B:$B,MATCH(D1396,Materiali!$A:$A,0)),"codice?"))</f>
        <v/>
      </c>
      <c r="F1396" s="13"/>
      <c r="G1396" s="13"/>
      <c r="H1396" s="9" t="str">
        <f aca="false">IF(D1396="","",IFERROR(INDEX(Materiali!$C:$C,MATCH(D1396,Materiali!$A:$A,0)),0))</f>
        <v/>
      </c>
      <c r="I1396" s="9" t="str">
        <f aca="false">IF(OR(G1396="",H1396=""),"",IF(F1396="Uscita",-1,1)*G1396*H1396)</f>
        <v/>
      </c>
      <c r="J1396" s="13"/>
      <c r="K1396" s="13"/>
    </row>
    <row r="1397" customFormat="false" ht="15" hidden="false" customHeight="false" outlineLevel="0" collapsed="false">
      <c r="A1397" s="12"/>
      <c r="B1397" s="13"/>
      <c r="C1397" s="13"/>
      <c r="D1397" s="13"/>
      <c r="E1397" s="7" t="str">
        <f aca="false">IF(D1397="","",IFERROR(INDEX(Materiali!$B:$B,MATCH(D1397,Materiali!$A:$A,0)),"codice?"))</f>
        <v/>
      </c>
      <c r="F1397" s="13"/>
      <c r="G1397" s="13"/>
      <c r="H1397" s="9" t="str">
        <f aca="false">IF(D1397="","",IFERROR(INDEX(Materiali!$C:$C,MATCH(D1397,Materiali!$A:$A,0)),0))</f>
        <v/>
      </c>
      <c r="I1397" s="9" t="str">
        <f aca="false">IF(OR(G1397="",H1397=""),"",IF(F1397="Uscita",-1,1)*G1397*H1397)</f>
        <v/>
      </c>
      <c r="J1397" s="13"/>
      <c r="K1397" s="13"/>
    </row>
    <row r="1398" customFormat="false" ht="15" hidden="false" customHeight="false" outlineLevel="0" collapsed="false">
      <c r="A1398" s="12"/>
      <c r="B1398" s="13"/>
      <c r="C1398" s="13"/>
      <c r="D1398" s="13"/>
      <c r="E1398" s="7" t="str">
        <f aca="false">IF(D1398="","",IFERROR(INDEX(Materiali!$B:$B,MATCH(D1398,Materiali!$A:$A,0)),"codice?"))</f>
        <v/>
      </c>
      <c r="F1398" s="13"/>
      <c r="G1398" s="13"/>
      <c r="H1398" s="9" t="str">
        <f aca="false">IF(D1398="","",IFERROR(INDEX(Materiali!$C:$C,MATCH(D1398,Materiali!$A:$A,0)),0))</f>
        <v/>
      </c>
      <c r="I1398" s="9" t="str">
        <f aca="false">IF(OR(G1398="",H1398=""),"",IF(F1398="Uscita",-1,1)*G1398*H1398)</f>
        <v/>
      </c>
      <c r="J1398" s="13"/>
      <c r="K1398" s="13"/>
    </row>
    <row r="1399" customFormat="false" ht="15" hidden="false" customHeight="false" outlineLevel="0" collapsed="false">
      <c r="A1399" s="12"/>
      <c r="B1399" s="13"/>
      <c r="C1399" s="13"/>
      <c r="D1399" s="13"/>
      <c r="E1399" s="7" t="str">
        <f aca="false">IF(D1399="","",IFERROR(INDEX(Materiali!$B:$B,MATCH(D1399,Materiali!$A:$A,0)),"codice?"))</f>
        <v/>
      </c>
      <c r="F1399" s="13"/>
      <c r="G1399" s="13"/>
      <c r="H1399" s="9" t="str">
        <f aca="false">IF(D1399="","",IFERROR(INDEX(Materiali!$C:$C,MATCH(D1399,Materiali!$A:$A,0)),0))</f>
        <v/>
      </c>
      <c r="I1399" s="9" t="str">
        <f aca="false">IF(OR(G1399="",H1399=""),"",IF(F1399="Uscita",-1,1)*G1399*H1399)</f>
        <v/>
      </c>
      <c r="J1399" s="13"/>
      <c r="K1399" s="13"/>
    </row>
    <row r="1400" customFormat="false" ht="15" hidden="false" customHeight="false" outlineLevel="0" collapsed="false">
      <c r="A1400" s="12"/>
      <c r="B1400" s="13"/>
      <c r="C1400" s="13"/>
      <c r="D1400" s="13"/>
      <c r="E1400" s="7" t="str">
        <f aca="false">IF(D1400="","",IFERROR(INDEX(Materiali!$B:$B,MATCH(D1400,Materiali!$A:$A,0)),"codice?"))</f>
        <v/>
      </c>
      <c r="F1400" s="13"/>
      <c r="G1400" s="13"/>
      <c r="H1400" s="9" t="str">
        <f aca="false">IF(D1400="","",IFERROR(INDEX(Materiali!$C:$C,MATCH(D1400,Materiali!$A:$A,0)),0))</f>
        <v/>
      </c>
      <c r="I1400" s="9" t="str">
        <f aca="false">IF(OR(G1400="",H1400=""),"",IF(F1400="Uscita",-1,1)*G1400*H1400)</f>
        <v/>
      </c>
      <c r="J1400" s="13"/>
      <c r="K1400" s="13"/>
    </row>
    <row r="1401" customFormat="false" ht="15" hidden="false" customHeight="false" outlineLevel="0" collapsed="false">
      <c r="A1401" s="12"/>
      <c r="B1401" s="13"/>
      <c r="C1401" s="13"/>
      <c r="D1401" s="13"/>
      <c r="E1401" s="7" t="str">
        <f aca="false">IF(D1401="","",IFERROR(INDEX(Materiali!$B:$B,MATCH(D1401,Materiali!$A:$A,0)),"codice?"))</f>
        <v/>
      </c>
      <c r="F1401" s="13"/>
      <c r="G1401" s="13"/>
      <c r="H1401" s="9" t="str">
        <f aca="false">IF(D1401="","",IFERROR(INDEX(Materiali!$C:$C,MATCH(D1401,Materiali!$A:$A,0)),0))</f>
        <v/>
      </c>
      <c r="I1401" s="9" t="str">
        <f aca="false">IF(OR(G1401="",H1401=""),"",IF(F1401="Uscita",-1,1)*G1401*H1401)</f>
        <v/>
      </c>
      <c r="J1401" s="13"/>
      <c r="K1401" s="13"/>
    </row>
    <row r="1402" customFormat="false" ht="15" hidden="false" customHeight="false" outlineLevel="0" collapsed="false">
      <c r="A1402" s="12"/>
      <c r="B1402" s="13"/>
      <c r="C1402" s="13"/>
      <c r="D1402" s="13"/>
      <c r="E1402" s="7" t="str">
        <f aca="false">IF(D1402="","",IFERROR(INDEX(Materiali!$B:$B,MATCH(D1402,Materiali!$A:$A,0)),"codice?"))</f>
        <v/>
      </c>
      <c r="F1402" s="13"/>
      <c r="G1402" s="13"/>
      <c r="H1402" s="9" t="str">
        <f aca="false">IF(D1402="","",IFERROR(INDEX(Materiali!$C:$C,MATCH(D1402,Materiali!$A:$A,0)),0))</f>
        <v/>
      </c>
      <c r="I1402" s="9" t="str">
        <f aca="false">IF(OR(G1402="",H1402=""),"",IF(F1402="Uscita",-1,1)*G1402*H1402)</f>
        <v/>
      </c>
      <c r="J1402" s="13"/>
      <c r="K1402" s="13"/>
    </row>
    <row r="1403" customFormat="false" ht="15" hidden="false" customHeight="false" outlineLevel="0" collapsed="false">
      <c r="A1403" s="12"/>
      <c r="B1403" s="13"/>
      <c r="C1403" s="13"/>
      <c r="D1403" s="13"/>
      <c r="E1403" s="7" t="str">
        <f aca="false">IF(D1403="","",IFERROR(INDEX(Materiali!$B:$B,MATCH(D1403,Materiali!$A:$A,0)),"codice?"))</f>
        <v/>
      </c>
      <c r="F1403" s="13"/>
      <c r="G1403" s="13"/>
      <c r="H1403" s="9" t="str">
        <f aca="false">IF(D1403="","",IFERROR(INDEX(Materiali!$C:$C,MATCH(D1403,Materiali!$A:$A,0)),0))</f>
        <v/>
      </c>
      <c r="I1403" s="9" t="str">
        <f aca="false">IF(OR(G1403="",H1403=""),"",IF(F1403="Uscita",-1,1)*G1403*H1403)</f>
        <v/>
      </c>
      <c r="J1403" s="13"/>
      <c r="K1403" s="13"/>
    </row>
    <row r="1404" customFormat="false" ht="15" hidden="false" customHeight="false" outlineLevel="0" collapsed="false">
      <c r="A1404" s="12"/>
      <c r="B1404" s="13"/>
      <c r="C1404" s="13"/>
      <c r="D1404" s="13"/>
      <c r="E1404" s="7" t="str">
        <f aca="false">IF(D1404="","",IFERROR(INDEX(Materiali!$B:$B,MATCH(D1404,Materiali!$A:$A,0)),"codice?"))</f>
        <v/>
      </c>
      <c r="F1404" s="13"/>
      <c r="G1404" s="13"/>
      <c r="H1404" s="9" t="str">
        <f aca="false">IF(D1404="","",IFERROR(INDEX(Materiali!$C:$C,MATCH(D1404,Materiali!$A:$A,0)),0))</f>
        <v/>
      </c>
      <c r="I1404" s="9" t="str">
        <f aca="false">IF(OR(G1404="",H1404=""),"",IF(F1404="Uscita",-1,1)*G1404*H1404)</f>
        <v/>
      </c>
      <c r="J1404" s="13"/>
      <c r="K1404" s="13"/>
    </row>
    <row r="1405" customFormat="false" ht="15" hidden="false" customHeight="false" outlineLevel="0" collapsed="false">
      <c r="A1405" s="12"/>
      <c r="B1405" s="13"/>
      <c r="C1405" s="13"/>
      <c r="D1405" s="13"/>
      <c r="E1405" s="7" t="str">
        <f aca="false">IF(D1405="","",IFERROR(INDEX(Materiali!$B:$B,MATCH(D1405,Materiali!$A:$A,0)),"codice?"))</f>
        <v/>
      </c>
      <c r="F1405" s="13"/>
      <c r="G1405" s="13"/>
      <c r="H1405" s="9" t="str">
        <f aca="false">IF(D1405="","",IFERROR(INDEX(Materiali!$C:$C,MATCH(D1405,Materiali!$A:$A,0)),0))</f>
        <v/>
      </c>
      <c r="I1405" s="9" t="str">
        <f aca="false">IF(OR(G1405="",H1405=""),"",IF(F1405="Uscita",-1,1)*G1405*H1405)</f>
        <v/>
      </c>
      <c r="J1405" s="13"/>
      <c r="K1405" s="13"/>
    </row>
    <row r="1406" customFormat="false" ht="15" hidden="false" customHeight="false" outlineLevel="0" collapsed="false">
      <c r="A1406" s="12"/>
      <c r="B1406" s="13"/>
      <c r="C1406" s="13"/>
      <c r="D1406" s="13"/>
      <c r="E1406" s="7" t="str">
        <f aca="false">IF(D1406="","",IFERROR(INDEX(Materiali!$B:$B,MATCH(D1406,Materiali!$A:$A,0)),"codice?"))</f>
        <v/>
      </c>
      <c r="F1406" s="13"/>
      <c r="G1406" s="13"/>
      <c r="H1406" s="9" t="str">
        <f aca="false">IF(D1406="","",IFERROR(INDEX(Materiali!$C:$C,MATCH(D1406,Materiali!$A:$A,0)),0))</f>
        <v/>
      </c>
      <c r="I1406" s="9" t="str">
        <f aca="false">IF(OR(G1406="",H1406=""),"",IF(F1406="Uscita",-1,1)*G1406*H1406)</f>
        <v/>
      </c>
      <c r="J1406" s="13"/>
      <c r="K1406" s="13"/>
    </row>
    <row r="1407" customFormat="false" ht="15" hidden="false" customHeight="false" outlineLevel="0" collapsed="false">
      <c r="A1407" s="12"/>
      <c r="B1407" s="13"/>
      <c r="C1407" s="13"/>
      <c r="D1407" s="13"/>
      <c r="E1407" s="7" t="str">
        <f aca="false">IF(D1407="","",IFERROR(INDEX(Materiali!$B:$B,MATCH(D1407,Materiali!$A:$A,0)),"codice?"))</f>
        <v/>
      </c>
      <c r="F1407" s="13"/>
      <c r="G1407" s="13"/>
      <c r="H1407" s="9" t="str">
        <f aca="false">IF(D1407="","",IFERROR(INDEX(Materiali!$C:$C,MATCH(D1407,Materiali!$A:$A,0)),0))</f>
        <v/>
      </c>
      <c r="I1407" s="9" t="str">
        <f aca="false">IF(OR(G1407="",H1407=""),"",IF(F1407="Uscita",-1,1)*G1407*H1407)</f>
        <v/>
      </c>
      <c r="J1407" s="13"/>
      <c r="K1407" s="13"/>
    </row>
    <row r="1408" customFormat="false" ht="15" hidden="false" customHeight="false" outlineLevel="0" collapsed="false">
      <c r="A1408" s="12"/>
      <c r="B1408" s="13"/>
      <c r="C1408" s="13"/>
      <c r="D1408" s="13"/>
      <c r="E1408" s="7" t="str">
        <f aca="false">IF(D1408="","",IFERROR(INDEX(Materiali!$B:$B,MATCH(D1408,Materiali!$A:$A,0)),"codice?"))</f>
        <v/>
      </c>
      <c r="F1408" s="13"/>
      <c r="G1408" s="13"/>
      <c r="H1408" s="9" t="str">
        <f aca="false">IF(D1408="","",IFERROR(INDEX(Materiali!$C:$C,MATCH(D1408,Materiali!$A:$A,0)),0))</f>
        <v/>
      </c>
      <c r="I1408" s="9" t="str">
        <f aca="false">IF(OR(G1408="",H1408=""),"",IF(F1408="Uscita",-1,1)*G1408*H1408)</f>
        <v/>
      </c>
      <c r="J1408" s="13"/>
      <c r="K1408" s="13"/>
    </row>
    <row r="1409" customFormat="false" ht="15" hidden="false" customHeight="false" outlineLevel="0" collapsed="false">
      <c r="A1409" s="12"/>
      <c r="B1409" s="13"/>
      <c r="C1409" s="13"/>
      <c r="D1409" s="13"/>
      <c r="E1409" s="7" t="str">
        <f aca="false">IF(D1409="","",IFERROR(INDEX(Materiali!$B:$B,MATCH(D1409,Materiali!$A:$A,0)),"codice?"))</f>
        <v/>
      </c>
      <c r="F1409" s="13"/>
      <c r="G1409" s="13"/>
      <c r="H1409" s="9" t="str">
        <f aca="false">IF(D1409="","",IFERROR(INDEX(Materiali!$C:$C,MATCH(D1409,Materiali!$A:$A,0)),0))</f>
        <v/>
      </c>
      <c r="I1409" s="9" t="str">
        <f aca="false">IF(OR(G1409="",H1409=""),"",IF(F1409="Uscita",-1,1)*G1409*H1409)</f>
        <v/>
      </c>
      <c r="J1409" s="13"/>
      <c r="K1409" s="13"/>
    </row>
    <row r="1410" customFormat="false" ht="15" hidden="false" customHeight="false" outlineLevel="0" collapsed="false">
      <c r="A1410" s="12"/>
      <c r="B1410" s="13"/>
      <c r="C1410" s="13"/>
      <c r="D1410" s="13"/>
      <c r="E1410" s="7" t="str">
        <f aca="false">IF(D1410="","",IFERROR(INDEX(Materiali!$B:$B,MATCH(D1410,Materiali!$A:$A,0)),"codice?"))</f>
        <v/>
      </c>
      <c r="F1410" s="13"/>
      <c r="G1410" s="13"/>
      <c r="H1410" s="9" t="str">
        <f aca="false">IF(D1410="","",IFERROR(INDEX(Materiali!$C:$C,MATCH(D1410,Materiali!$A:$A,0)),0))</f>
        <v/>
      </c>
      <c r="I1410" s="9" t="str">
        <f aca="false">IF(OR(G1410="",H1410=""),"",IF(F1410="Uscita",-1,1)*G1410*H1410)</f>
        <v/>
      </c>
      <c r="J1410" s="13"/>
      <c r="K1410" s="13"/>
    </row>
    <row r="1411" customFormat="false" ht="15" hidden="false" customHeight="false" outlineLevel="0" collapsed="false">
      <c r="A1411" s="12"/>
      <c r="B1411" s="13"/>
      <c r="C1411" s="13"/>
      <c r="D1411" s="13"/>
      <c r="E1411" s="7" t="str">
        <f aca="false">IF(D1411="","",IFERROR(INDEX(Materiali!$B:$B,MATCH(D1411,Materiali!$A:$A,0)),"codice?"))</f>
        <v/>
      </c>
      <c r="F1411" s="13"/>
      <c r="G1411" s="13"/>
      <c r="H1411" s="9" t="str">
        <f aca="false">IF(D1411="","",IFERROR(INDEX(Materiali!$C:$C,MATCH(D1411,Materiali!$A:$A,0)),0))</f>
        <v/>
      </c>
      <c r="I1411" s="9" t="str">
        <f aca="false">IF(OR(G1411="",H1411=""),"",IF(F1411="Uscita",-1,1)*G1411*H1411)</f>
        <v/>
      </c>
      <c r="J1411" s="13"/>
      <c r="K1411" s="13"/>
    </row>
    <row r="1412" customFormat="false" ht="15" hidden="false" customHeight="false" outlineLevel="0" collapsed="false">
      <c r="A1412" s="12"/>
      <c r="B1412" s="13"/>
      <c r="C1412" s="13"/>
      <c r="D1412" s="13"/>
      <c r="E1412" s="7" t="str">
        <f aca="false">IF(D1412="","",IFERROR(INDEX(Materiali!$B:$B,MATCH(D1412,Materiali!$A:$A,0)),"codice?"))</f>
        <v/>
      </c>
      <c r="F1412" s="13"/>
      <c r="G1412" s="13"/>
      <c r="H1412" s="9" t="str">
        <f aca="false">IF(D1412="","",IFERROR(INDEX(Materiali!$C:$C,MATCH(D1412,Materiali!$A:$A,0)),0))</f>
        <v/>
      </c>
      <c r="I1412" s="9" t="str">
        <f aca="false">IF(OR(G1412="",H1412=""),"",IF(F1412="Uscita",-1,1)*G1412*H1412)</f>
        <v/>
      </c>
      <c r="J1412" s="13"/>
      <c r="K1412" s="13"/>
    </row>
    <row r="1413" customFormat="false" ht="15" hidden="false" customHeight="false" outlineLevel="0" collapsed="false">
      <c r="A1413" s="12"/>
      <c r="B1413" s="13"/>
      <c r="C1413" s="13"/>
      <c r="D1413" s="13"/>
      <c r="E1413" s="7" t="str">
        <f aca="false">IF(D1413="","",IFERROR(INDEX(Materiali!$B:$B,MATCH(D1413,Materiali!$A:$A,0)),"codice?"))</f>
        <v/>
      </c>
      <c r="F1413" s="13"/>
      <c r="G1413" s="13"/>
      <c r="H1413" s="9" t="str">
        <f aca="false">IF(D1413="","",IFERROR(INDEX(Materiali!$C:$C,MATCH(D1413,Materiali!$A:$A,0)),0))</f>
        <v/>
      </c>
      <c r="I1413" s="9" t="str">
        <f aca="false">IF(OR(G1413="",H1413=""),"",IF(F1413="Uscita",-1,1)*G1413*H1413)</f>
        <v/>
      </c>
      <c r="J1413" s="13"/>
      <c r="K1413" s="13"/>
    </row>
    <row r="1414" customFormat="false" ht="15" hidden="false" customHeight="false" outlineLevel="0" collapsed="false">
      <c r="A1414" s="12"/>
      <c r="B1414" s="13"/>
      <c r="C1414" s="13"/>
      <c r="D1414" s="13"/>
      <c r="E1414" s="7" t="str">
        <f aca="false">IF(D1414="","",IFERROR(INDEX(Materiali!$B:$B,MATCH(D1414,Materiali!$A:$A,0)),"codice?"))</f>
        <v/>
      </c>
      <c r="F1414" s="13"/>
      <c r="G1414" s="13"/>
      <c r="H1414" s="9" t="str">
        <f aca="false">IF(D1414="","",IFERROR(INDEX(Materiali!$C:$C,MATCH(D1414,Materiali!$A:$A,0)),0))</f>
        <v/>
      </c>
      <c r="I1414" s="9" t="str">
        <f aca="false">IF(OR(G1414="",H1414=""),"",IF(F1414="Uscita",-1,1)*G1414*H1414)</f>
        <v/>
      </c>
      <c r="J1414" s="13"/>
      <c r="K1414" s="13"/>
    </row>
    <row r="1415" customFormat="false" ht="15" hidden="false" customHeight="false" outlineLevel="0" collapsed="false">
      <c r="A1415" s="12"/>
      <c r="B1415" s="13"/>
      <c r="C1415" s="13"/>
      <c r="D1415" s="13"/>
      <c r="E1415" s="7" t="str">
        <f aca="false">IF(D1415="","",IFERROR(INDEX(Materiali!$B:$B,MATCH(D1415,Materiali!$A:$A,0)),"codice?"))</f>
        <v/>
      </c>
      <c r="F1415" s="13"/>
      <c r="G1415" s="13"/>
      <c r="H1415" s="9" t="str">
        <f aca="false">IF(D1415="","",IFERROR(INDEX(Materiali!$C:$C,MATCH(D1415,Materiali!$A:$A,0)),0))</f>
        <v/>
      </c>
      <c r="I1415" s="9" t="str">
        <f aca="false">IF(OR(G1415="",H1415=""),"",IF(F1415="Uscita",-1,1)*G1415*H1415)</f>
        <v/>
      </c>
      <c r="J1415" s="13"/>
      <c r="K1415" s="13"/>
    </row>
    <row r="1416" customFormat="false" ht="15" hidden="false" customHeight="false" outlineLevel="0" collapsed="false">
      <c r="A1416" s="12"/>
      <c r="B1416" s="13"/>
      <c r="C1416" s="13"/>
      <c r="D1416" s="13"/>
      <c r="E1416" s="7" t="str">
        <f aca="false">IF(D1416="","",IFERROR(INDEX(Materiali!$B:$B,MATCH(D1416,Materiali!$A:$A,0)),"codice?"))</f>
        <v/>
      </c>
      <c r="F1416" s="13"/>
      <c r="G1416" s="13"/>
      <c r="H1416" s="9" t="str">
        <f aca="false">IF(D1416="","",IFERROR(INDEX(Materiali!$C:$C,MATCH(D1416,Materiali!$A:$A,0)),0))</f>
        <v/>
      </c>
      <c r="I1416" s="9" t="str">
        <f aca="false">IF(OR(G1416="",H1416=""),"",IF(F1416="Uscita",-1,1)*G1416*H1416)</f>
        <v/>
      </c>
      <c r="J1416" s="13"/>
      <c r="K1416" s="13"/>
    </row>
    <row r="1417" customFormat="false" ht="15" hidden="false" customHeight="false" outlineLevel="0" collapsed="false">
      <c r="A1417" s="12"/>
      <c r="B1417" s="13"/>
      <c r="C1417" s="13"/>
      <c r="D1417" s="13"/>
      <c r="E1417" s="7" t="str">
        <f aca="false">IF(D1417="","",IFERROR(INDEX(Materiali!$B:$B,MATCH(D1417,Materiali!$A:$A,0)),"codice?"))</f>
        <v/>
      </c>
      <c r="F1417" s="13"/>
      <c r="G1417" s="13"/>
      <c r="H1417" s="9" t="str">
        <f aca="false">IF(D1417="","",IFERROR(INDEX(Materiali!$C:$C,MATCH(D1417,Materiali!$A:$A,0)),0))</f>
        <v/>
      </c>
      <c r="I1417" s="9" t="str">
        <f aca="false">IF(OR(G1417="",H1417=""),"",IF(F1417="Uscita",-1,1)*G1417*H1417)</f>
        <v/>
      </c>
      <c r="J1417" s="13"/>
      <c r="K1417" s="13"/>
    </row>
    <row r="1418" customFormat="false" ht="15" hidden="false" customHeight="false" outlineLevel="0" collapsed="false">
      <c r="A1418" s="12"/>
      <c r="B1418" s="13"/>
      <c r="C1418" s="13"/>
      <c r="D1418" s="13"/>
      <c r="E1418" s="7" t="str">
        <f aca="false">IF(D1418="","",IFERROR(INDEX(Materiali!$B:$B,MATCH(D1418,Materiali!$A:$A,0)),"codice?"))</f>
        <v/>
      </c>
      <c r="F1418" s="13"/>
      <c r="G1418" s="13"/>
      <c r="H1418" s="9" t="str">
        <f aca="false">IF(D1418="","",IFERROR(INDEX(Materiali!$C:$C,MATCH(D1418,Materiali!$A:$A,0)),0))</f>
        <v/>
      </c>
      <c r="I1418" s="9" t="str">
        <f aca="false">IF(OR(G1418="",H1418=""),"",IF(F1418="Uscita",-1,1)*G1418*H1418)</f>
        <v/>
      </c>
      <c r="J1418" s="13"/>
      <c r="K1418" s="13"/>
    </row>
    <row r="1419" customFormat="false" ht="15" hidden="false" customHeight="false" outlineLevel="0" collapsed="false">
      <c r="A1419" s="12"/>
      <c r="B1419" s="13"/>
      <c r="C1419" s="13"/>
      <c r="D1419" s="13"/>
      <c r="E1419" s="7" t="str">
        <f aca="false">IF(D1419="","",IFERROR(INDEX(Materiali!$B:$B,MATCH(D1419,Materiali!$A:$A,0)),"codice?"))</f>
        <v/>
      </c>
      <c r="F1419" s="13"/>
      <c r="G1419" s="13"/>
      <c r="H1419" s="9" t="str">
        <f aca="false">IF(D1419="","",IFERROR(INDEX(Materiali!$C:$C,MATCH(D1419,Materiali!$A:$A,0)),0))</f>
        <v/>
      </c>
      <c r="I1419" s="9" t="str">
        <f aca="false">IF(OR(G1419="",H1419=""),"",IF(F1419="Uscita",-1,1)*G1419*H1419)</f>
        <v/>
      </c>
      <c r="J1419" s="13"/>
      <c r="K1419" s="13"/>
    </row>
    <row r="1420" customFormat="false" ht="15" hidden="false" customHeight="false" outlineLevel="0" collapsed="false">
      <c r="A1420" s="12"/>
      <c r="B1420" s="13"/>
      <c r="C1420" s="13"/>
      <c r="D1420" s="13"/>
      <c r="E1420" s="7" t="str">
        <f aca="false">IF(D1420="","",IFERROR(INDEX(Materiali!$B:$B,MATCH(D1420,Materiali!$A:$A,0)),"codice?"))</f>
        <v/>
      </c>
      <c r="F1420" s="13"/>
      <c r="G1420" s="13"/>
      <c r="H1420" s="9" t="str">
        <f aca="false">IF(D1420="","",IFERROR(INDEX(Materiali!$C:$C,MATCH(D1420,Materiali!$A:$A,0)),0))</f>
        <v/>
      </c>
      <c r="I1420" s="9" t="str">
        <f aca="false">IF(OR(G1420="",H1420=""),"",IF(F1420="Uscita",-1,1)*G1420*H1420)</f>
        <v/>
      </c>
      <c r="J1420" s="13"/>
      <c r="K1420" s="13"/>
    </row>
    <row r="1421" customFormat="false" ht="15" hidden="false" customHeight="false" outlineLevel="0" collapsed="false">
      <c r="A1421" s="12"/>
      <c r="B1421" s="13"/>
      <c r="C1421" s="13"/>
      <c r="D1421" s="13"/>
      <c r="E1421" s="7" t="str">
        <f aca="false">IF(D1421="","",IFERROR(INDEX(Materiali!$B:$B,MATCH(D1421,Materiali!$A:$A,0)),"codice?"))</f>
        <v/>
      </c>
      <c r="F1421" s="13"/>
      <c r="G1421" s="13"/>
      <c r="H1421" s="9" t="str">
        <f aca="false">IF(D1421="","",IFERROR(INDEX(Materiali!$C:$C,MATCH(D1421,Materiali!$A:$A,0)),0))</f>
        <v/>
      </c>
      <c r="I1421" s="9" t="str">
        <f aca="false">IF(OR(G1421="",H1421=""),"",IF(F1421="Uscita",-1,1)*G1421*H1421)</f>
        <v/>
      </c>
      <c r="J1421" s="13"/>
      <c r="K1421" s="13"/>
    </row>
    <row r="1422" customFormat="false" ht="15" hidden="false" customHeight="false" outlineLevel="0" collapsed="false">
      <c r="A1422" s="12"/>
      <c r="B1422" s="13"/>
      <c r="C1422" s="13"/>
      <c r="D1422" s="13"/>
      <c r="E1422" s="7" t="str">
        <f aca="false">IF(D1422="","",IFERROR(INDEX(Materiali!$B:$B,MATCH(D1422,Materiali!$A:$A,0)),"codice?"))</f>
        <v/>
      </c>
      <c r="F1422" s="13"/>
      <c r="G1422" s="13"/>
      <c r="H1422" s="9" t="str">
        <f aca="false">IF(D1422="","",IFERROR(INDEX(Materiali!$C:$C,MATCH(D1422,Materiali!$A:$A,0)),0))</f>
        <v/>
      </c>
      <c r="I1422" s="9" t="str">
        <f aca="false">IF(OR(G1422="",H1422=""),"",IF(F1422="Uscita",-1,1)*G1422*H1422)</f>
        <v/>
      </c>
      <c r="J1422" s="13"/>
      <c r="K1422" s="13"/>
    </row>
    <row r="1423" customFormat="false" ht="15" hidden="false" customHeight="false" outlineLevel="0" collapsed="false">
      <c r="A1423" s="12"/>
      <c r="B1423" s="13"/>
      <c r="C1423" s="13"/>
      <c r="D1423" s="13"/>
      <c r="E1423" s="7" t="str">
        <f aca="false">IF(D1423="","",IFERROR(INDEX(Materiali!$B:$B,MATCH(D1423,Materiali!$A:$A,0)),"codice?"))</f>
        <v/>
      </c>
      <c r="F1423" s="13"/>
      <c r="G1423" s="13"/>
      <c r="H1423" s="9" t="str">
        <f aca="false">IF(D1423="","",IFERROR(INDEX(Materiali!$C:$C,MATCH(D1423,Materiali!$A:$A,0)),0))</f>
        <v/>
      </c>
      <c r="I1423" s="9" t="str">
        <f aca="false">IF(OR(G1423="",H1423=""),"",IF(F1423="Uscita",-1,1)*G1423*H1423)</f>
        <v/>
      </c>
      <c r="J1423" s="13"/>
      <c r="K1423" s="13"/>
    </row>
    <row r="1424" customFormat="false" ht="15" hidden="false" customHeight="false" outlineLevel="0" collapsed="false">
      <c r="A1424" s="12"/>
      <c r="B1424" s="13"/>
      <c r="C1424" s="13"/>
      <c r="D1424" s="13"/>
      <c r="E1424" s="7" t="str">
        <f aca="false">IF(D1424="","",IFERROR(INDEX(Materiali!$B:$B,MATCH(D1424,Materiali!$A:$A,0)),"codice?"))</f>
        <v/>
      </c>
      <c r="F1424" s="13"/>
      <c r="G1424" s="13"/>
      <c r="H1424" s="9" t="str">
        <f aca="false">IF(D1424="","",IFERROR(INDEX(Materiali!$C:$C,MATCH(D1424,Materiali!$A:$A,0)),0))</f>
        <v/>
      </c>
      <c r="I1424" s="9" t="str">
        <f aca="false">IF(OR(G1424="",H1424=""),"",IF(F1424="Uscita",-1,1)*G1424*H1424)</f>
        <v/>
      </c>
      <c r="J1424" s="13"/>
      <c r="K1424" s="13"/>
    </row>
    <row r="1425" customFormat="false" ht="15" hidden="false" customHeight="false" outlineLevel="0" collapsed="false">
      <c r="A1425" s="12"/>
      <c r="B1425" s="13"/>
      <c r="C1425" s="13"/>
      <c r="D1425" s="13"/>
      <c r="E1425" s="7" t="str">
        <f aca="false">IF(D1425="","",IFERROR(INDEX(Materiali!$B:$B,MATCH(D1425,Materiali!$A:$A,0)),"codice?"))</f>
        <v/>
      </c>
      <c r="F1425" s="13"/>
      <c r="G1425" s="13"/>
      <c r="H1425" s="9" t="str">
        <f aca="false">IF(D1425="","",IFERROR(INDEX(Materiali!$C:$C,MATCH(D1425,Materiali!$A:$A,0)),0))</f>
        <v/>
      </c>
      <c r="I1425" s="9" t="str">
        <f aca="false">IF(OR(G1425="",H1425=""),"",IF(F1425="Uscita",-1,1)*G1425*H1425)</f>
        <v/>
      </c>
      <c r="J1425" s="13"/>
      <c r="K1425" s="13"/>
    </row>
    <row r="1426" customFormat="false" ht="15" hidden="false" customHeight="false" outlineLevel="0" collapsed="false">
      <c r="A1426" s="12"/>
      <c r="B1426" s="13"/>
      <c r="C1426" s="13"/>
      <c r="D1426" s="13"/>
      <c r="E1426" s="7" t="str">
        <f aca="false">IF(D1426="","",IFERROR(INDEX(Materiali!$B:$B,MATCH(D1426,Materiali!$A:$A,0)),"codice?"))</f>
        <v/>
      </c>
      <c r="F1426" s="13"/>
      <c r="G1426" s="13"/>
      <c r="H1426" s="9" t="str">
        <f aca="false">IF(D1426="","",IFERROR(INDEX(Materiali!$C:$C,MATCH(D1426,Materiali!$A:$A,0)),0))</f>
        <v/>
      </c>
      <c r="I1426" s="9" t="str">
        <f aca="false">IF(OR(G1426="",H1426=""),"",IF(F1426="Uscita",-1,1)*G1426*H1426)</f>
        <v/>
      </c>
      <c r="J1426" s="13"/>
      <c r="K1426" s="13"/>
    </row>
    <row r="1427" customFormat="false" ht="15" hidden="false" customHeight="false" outlineLevel="0" collapsed="false">
      <c r="A1427" s="12"/>
      <c r="B1427" s="13"/>
      <c r="C1427" s="13"/>
      <c r="D1427" s="13"/>
      <c r="E1427" s="7" t="str">
        <f aca="false">IF(D1427="","",IFERROR(INDEX(Materiali!$B:$B,MATCH(D1427,Materiali!$A:$A,0)),"codice?"))</f>
        <v/>
      </c>
      <c r="F1427" s="13"/>
      <c r="G1427" s="13"/>
      <c r="H1427" s="9" t="str">
        <f aca="false">IF(D1427="","",IFERROR(INDEX(Materiali!$C:$C,MATCH(D1427,Materiali!$A:$A,0)),0))</f>
        <v/>
      </c>
      <c r="I1427" s="9" t="str">
        <f aca="false">IF(OR(G1427="",H1427=""),"",IF(F1427="Uscita",-1,1)*G1427*H1427)</f>
        <v/>
      </c>
      <c r="J1427" s="13"/>
      <c r="K1427" s="13"/>
    </row>
    <row r="1428" customFormat="false" ht="15" hidden="false" customHeight="false" outlineLevel="0" collapsed="false">
      <c r="A1428" s="12"/>
      <c r="B1428" s="13"/>
      <c r="C1428" s="13"/>
      <c r="D1428" s="13"/>
      <c r="E1428" s="7" t="str">
        <f aca="false">IF(D1428="","",IFERROR(INDEX(Materiali!$B:$B,MATCH(D1428,Materiali!$A:$A,0)),"codice?"))</f>
        <v/>
      </c>
      <c r="F1428" s="13"/>
      <c r="G1428" s="13"/>
      <c r="H1428" s="9" t="str">
        <f aca="false">IF(D1428="","",IFERROR(INDEX(Materiali!$C:$C,MATCH(D1428,Materiali!$A:$A,0)),0))</f>
        <v/>
      </c>
      <c r="I1428" s="9" t="str">
        <f aca="false">IF(OR(G1428="",H1428=""),"",IF(F1428="Uscita",-1,1)*G1428*H1428)</f>
        <v/>
      </c>
      <c r="J1428" s="13"/>
      <c r="K1428" s="13"/>
    </row>
    <row r="1429" customFormat="false" ht="15" hidden="false" customHeight="false" outlineLevel="0" collapsed="false">
      <c r="A1429" s="12"/>
      <c r="B1429" s="13"/>
      <c r="C1429" s="13"/>
      <c r="D1429" s="13"/>
      <c r="E1429" s="7" t="str">
        <f aca="false">IF(D1429="","",IFERROR(INDEX(Materiali!$B:$B,MATCH(D1429,Materiali!$A:$A,0)),"codice?"))</f>
        <v/>
      </c>
      <c r="F1429" s="13"/>
      <c r="G1429" s="13"/>
      <c r="H1429" s="9" t="str">
        <f aca="false">IF(D1429="","",IFERROR(INDEX(Materiali!$C:$C,MATCH(D1429,Materiali!$A:$A,0)),0))</f>
        <v/>
      </c>
      <c r="I1429" s="9" t="str">
        <f aca="false">IF(OR(G1429="",H1429=""),"",IF(F1429="Uscita",-1,1)*G1429*H1429)</f>
        <v/>
      </c>
      <c r="J1429" s="13"/>
      <c r="K1429" s="13"/>
    </row>
    <row r="1430" customFormat="false" ht="15" hidden="false" customHeight="false" outlineLevel="0" collapsed="false">
      <c r="A1430" s="12"/>
      <c r="B1430" s="13"/>
      <c r="C1430" s="13"/>
      <c r="D1430" s="13"/>
      <c r="E1430" s="7" t="str">
        <f aca="false">IF(D1430="","",IFERROR(INDEX(Materiali!$B:$B,MATCH(D1430,Materiali!$A:$A,0)),"codice?"))</f>
        <v/>
      </c>
      <c r="F1430" s="13"/>
      <c r="G1430" s="13"/>
      <c r="H1430" s="9" t="str">
        <f aca="false">IF(D1430="","",IFERROR(INDEX(Materiali!$C:$C,MATCH(D1430,Materiali!$A:$A,0)),0))</f>
        <v/>
      </c>
      <c r="I1430" s="9" t="str">
        <f aca="false">IF(OR(G1430="",H1430=""),"",IF(F1430="Uscita",-1,1)*G1430*H1430)</f>
        <v/>
      </c>
      <c r="J1430" s="13"/>
      <c r="K1430" s="13"/>
    </row>
    <row r="1431" customFormat="false" ht="15" hidden="false" customHeight="false" outlineLevel="0" collapsed="false">
      <c r="A1431" s="12"/>
      <c r="B1431" s="13"/>
      <c r="C1431" s="13"/>
      <c r="D1431" s="13"/>
      <c r="E1431" s="7" t="str">
        <f aca="false">IF(D1431="","",IFERROR(INDEX(Materiali!$B:$B,MATCH(D1431,Materiali!$A:$A,0)),"codice?"))</f>
        <v/>
      </c>
      <c r="F1431" s="13"/>
      <c r="G1431" s="13"/>
      <c r="H1431" s="9" t="str">
        <f aca="false">IF(D1431="","",IFERROR(INDEX(Materiali!$C:$C,MATCH(D1431,Materiali!$A:$A,0)),0))</f>
        <v/>
      </c>
      <c r="I1431" s="9" t="str">
        <f aca="false">IF(OR(G1431="",H1431=""),"",IF(F1431="Uscita",-1,1)*G1431*H1431)</f>
        <v/>
      </c>
      <c r="J1431" s="13"/>
      <c r="K1431" s="13"/>
    </row>
    <row r="1432" customFormat="false" ht="15" hidden="false" customHeight="false" outlineLevel="0" collapsed="false">
      <c r="A1432" s="12"/>
      <c r="B1432" s="13"/>
      <c r="C1432" s="13"/>
      <c r="D1432" s="13"/>
      <c r="E1432" s="7" t="str">
        <f aca="false">IF(D1432="","",IFERROR(INDEX(Materiali!$B:$B,MATCH(D1432,Materiali!$A:$A,0)),"codice?"))</f>
        <v/>
      </c>
      <c r="F1432" s="13"/>
      <c r="G1432" s="13"/>
      <c r="H1432" s="9" t="str">
        <f aca="false">IF(D1432="","",IFERROR(INDEX(Materiali!$C:$C,MATCH(D1432,Materiali!$A:$A,0)),0))</f>
        <v/>
      </c>
      <c r="I1432" s="9" t="str">
        <f aca="false">IF(OR(G1432="",H1432=""),"",IF(F1432="Uscita",-1,1)*G1432*H1432)</f>
        <v/>
      </c>
      <c r="J1432" s="13"/>
      <c r="K1432" s="13"/>
    </row>
    <row r="1433" customFormat="false" ht="15" hidden="false" customHeight="false" outlineLevel="0" collapsed="false">
      <c r="A1433" s="12"/>
      <c r="B1433" s="13"/>
      <c r="C1433" s="13"/>
      <c r="D1433" s="13"/>
      <c r="E1433" s="7" t="str">
        <f aca="false">IF(D1433="","",IFERROR(INDEX(Materiali!$B:$B,MATCH(D1433,Materiali!$A:$A,0)),"codice?"))</f>
        <v/>
      </c>
      <c r="F1433" s="13"/>
      <c r="G1433" s="13"/>
      <c r="H1433" s="9" t="str">
        <f aca="false">IF(D1433="","",IFERROR(INDEX(Materiali!$C:$C,MATCH(D1433,Materiali!$A:$A,0)),0))</f>
        <v/>
      </c>
      <c r="I1433" s="9" t="str">
        <f aca="false">IF(OR(G1433="",H1433=""),"",IF(F1433="Uscita",-1,1)*G1433*H1433)</f>
        <v/>
      </c>
      <c r="J1433" s="13"/>
      <c r="K1433" s="13"/>
    </row>
    <row r="1434" customFormat="false" ht="15" hidden="false" customHeight="false" outlineLevel="0" collapsed="false">
      <c r="A1434" s="12"/>
      <c r="B1434" s="13"/>
      <c r="C1434" s="13"/>
      <c r="D1434" s="13"/>
      <c r="E1434" s="7" t="str">
        <f aca="false">IF(D1434="","",IFERROR(INDEX(Materiali!$B:$B,MATCH(D1434,Materiali!$A:$A,0)),"codice?"))</f>
        <v/>
      </c>
      <c r="F1434" s="13"/>
      <c r="G1434" s="13"/>
      <c r="H1434" s="9" t="str">
        <f aca="false">IF(D1434="","",IFERROR(INDEX(Materiali!$C:$C,MATCH(D1434,Materiali!$A:$A,0)),0))</f>
        <v/>
      </c>
      <c r="I1434" s="9" t="str">
        <f aca="false">IF(OR(G1434="",H1434=""),"",IF(F1434="Uscita",-1,1)*G1434*H1434)</f>
        <v/>
      </c>
      <c r="J1434" s="13"/>
      <c r="K1434" s="13"/>
    </row>
    <row r="1435" customFormat="false" ht="15" hidden="false" customHeight="false" outlineLevel="0" collapsed="false">
      <c r="A1435" s="12"/>
      <c r="B1435" s="13"/>
      <c r="C1435" s="13"/>
      <c r="D1435" s="13"/>
      <c r="E1435" s="7" t="str">
        <f aca="false">IF(D1435="","",IFERROR(INDEX(Materiali!$B:$B,MATCH(D1435,Materiali!$A:$A,0)),"codice?"))</f>
        <v/>
      </c>
      <c r="F1435" s="13"/>
      <c r="G1435" s="13"/>
      <c r="H1435" s="9" t="str">
        <f aca="false">IF(D1435="","",IFERROR(INDEX(Materiali!$C:$C,MATCH(D1435,Materiali!$A:$A,0)),0))</f>
        <v/>
      </c>
      <c r="I1435" s="9" t="str">
        <f aca="false">IF(OR(G1435="",H1435=""),"",IF(F1435="Uscita",-1,1)*G1435*H1435)</f>
        <v/>
      </c>
      <c r="J1435" s="13"/>
      <c r="K1435" s="13"/>
    </row>
    <row r="1436" customFormat="false" ht="15" hidden="false" customHeight="false" outlineLevel="0" collapsed="false">
      <c r="A1436" s="12"/>
      <c r="B1436" s="13"/>
      <c r="C1436" s="13"/>
      <c r="D1436" s="13"/>
      <c r="E1436" s="7" t="str">
        <f aca="false">IF(D1436="","",IFERROR(INDEX(Materiali!$B:$B,MATCH(D1436,Materiali!$A:$A,0)),"codice?"))</f>
        <v/>
      </c>
      <c r="F1436" s="13"/>
      <c r="G1436" s="13"/>
      <c r="H1436" s="9" t="str">
        <f aca="false">IF(D1436="","",IFERROR(INDEX(Materiali!$C:$C,MATCH(D1436,Materiali!$A:$A,0)),0))</f>
        <v/>
      </c>
      <c r="I1436" s="9" t="str">
        <f aca="false">IF(OR(G1436="",H1436=""),"",IF(F1436="Uscita",-1,1)*G1436*H1436)</f>
        <v/>
      </c>
      <c r="J1436" s="13"/>
      <c r="K1436" s="13"/>
    </row>
    <row r="1437" customFormat="false" ht="15" hidden="false" customHeight="false" outlineLevel="0" collapsed="false">
      <c r="A1437" s="12"/>
      <c r="B1437" s="13"/>
      <c r="C1437" s="13"/>
      <c r="D1437" s="13"/>
      <c r="E1437" s="7" t="str">
        <f aca="false">IF(D1437="","",IFERROR(INDEX(Materiali!$B:$B,MATCH(D1437,Materiali!$A:$A,0)),"codice?"))</f>
        <v/>
      </c>
      <c r="F1437" s="13"/>
      <c r="G1437" s="13"/>
      <c r="H1437" s="9" t="str">
        <f aca="false">IF(D1437="","",IFERROR(INDEX(Materiali!$C:$C,MATCH(D1437,Materiali!$A:$A,0)),0))</f>
        <v/>
      </c>
      <c r="I1437" s="9" t="str">
        <f aca="false">IF(OR(G1437="",H1437=""),"",IF(F1437="Uscita",-1,1)*G1437*H1437)</f>
        <v/>
      </c>
      <c r="J1437" s="13"/>
      <c r="K1437" s="13"/>
    </row>
    <row r="1438" customFormat="false" ht="15" hidden="false" customHeight="false" outlineLevel="0" collapsed="false">
      <c r="A1438" s="12"/>
      <c r="B1438" s="13"/>
      <c r="C1438" s="13"/>
      <c r="D1438" s="13"/>
      <c r="E1438" s="7" t="str">
        <f aca="false">IF(D1438="","",IFERROR(INDEX(Materiali!$B:$B,MATCH(D1438,Materiali!$A:$A,0)),"codice?"))</f>
        <v/>
      </c>
      <c r="F1438" s="13"/>
      <c r="G1438" s="13"/>
      <c r="H1438" s="9" t="str">
        <f aca="false">IF(D1438="","",IFERROR(INDEX(Materiali!$C:$C,MATCH(D1438,Materiali!$A:$A,0)),0))</f>
        <v/>
      </c>
      <c r="I1438" s="9" t="str">
        <f aca="false">IF(OR(G1438="",H1438=""),"",IF(F1438="Uscita",-1,1)*G1438*H1438)</f>
        <v/>
      </c>
      <c r="J1438" s="13"/>
      <c r="K1438" s="13"/>
    </row>
    <row r="1439" customFormat="false" ht="15" hidden="false" customHeight="false" outlineLevel="0" collapsed="false">
      <c r="A1439" s="12"/>
      <c r="B1439" s="13"/>
      <c r="C1439" s="13"/>
      <c r="D1439" s="13"/>
      <c r="E1439" s="7" t="str">
        <f aca="false">IF(D1439="","",IFERROR(INDEX(Materiali!$B:$B,MATCH(D1439,Materiali!$A:$A,0)),"codice?"))</f>
        <v/>
      </c>
      <c r="F1439" s="13"/>
      <c r="G1439" s="13"/>
      <c r="H1439" s="9" t="str">
        <f aca="false">IF(D1439="","",IFERROR(INDEX(Materiali!$C:$C,MATCH(D1439,Materiali!$A:$A,0)),0))</f>
        <v/>
      </c>
      <c r="I1439" s="9" t="str">
        <f aca="false">IF(OR(G1439="",H1439=""),"",IF(F1439="Uscita",-1,1)*G1439*H1439)</f>
        <v/>
      </c>
      <c r="J1439" s="13"/>
      <c r="K1439" s="13"/>
    </row>
    <row r="1440" customFormat="false" ht="15" hidden="false" customHeight="false" outlineLevel="0" collapsed="false">
      <c r="A1440" s="12"/>
      <c r="B1440" s="13"/>
      <c r="C1440" s="13"/>
      <c r="D1440" s="13"/>
      <c r="E1440" s="7" t="str">
        <f aca="false">IF(D1440="","",IFERROR(INDEX(Materiali!$B:$B,MATCH(D1440,Materiali!$A:$A,0)),"codice?"))</f>
        <v/>
      </c>
      <c r="F1440" s="13"/>
      <c r="G1440" s="13"/>
      <c r="H1440" s="9" t="str">
        <f aca="false">IF(D1440="","",IFERROR(INDEX(Materiali!$C:$C,MATCH(D1440,Materiali!$A:$A,0)),0))</f>
        <v/>
      </c>
      <c r="I1440" s="9" t="str">
        <f aca="false">IF(OR(G1440="",H1440=""),"",IF(F1440="Uscita",-1,1)*G1440*H1440)</f>
        <v/>
      </c>
      <c r="J1440" s="13"/>
      <c r="K1440" s="13"/>
    </row>
    <row r="1441" customFormat="false" ht="15" hidden="false" customHeight="false" outlineLevel="0" collapsed="false">
      <c r="A1441" s="12"/>
      <c r="B1441" s="13"/>
      <c r="C1441" s="13"/>
      <c r="D1441" s="13"/>
      <c r="E1441" s="7" t="str">
        <f aca="false">IF(D1441="","",IFERROR(INDEX(Materiali!$B:$B,MATCH(D1441,Materiali!$A:$A,0)),"codice?"))</f>
        <v/>
      </c>
      <c r="F1441" s="13"/>
      <c r="G1441" s="13"/>
      <c r="H1441" s="9" t="str">
        <f aca="false">IF(D1441="","",IFERROR(INDEX(Materiali!$C:$C,MATCH(D1441,Materiali!$A:$A,0)),0))</f>
        <v/>
      </c>
      <c r="I1441" s="9" t="str">
        <f aca="false">IF(OR(G1441="",H1441=""),"",IF(F1441="Uscita",-1,1)*G1441*H1441)</f>
        <v/>
      </c>
      <c r="J1441" s="13"/>
      <c r="K1441" s="13"/>
    </row>
    <row r="1442" customFormat="false" ht="15" hidden="false" customHeight="false" outlineLevel="0" collapsed="false">
      <c r="A1442" s="12"/>
      <c r="B1442" s="13"/>
      <c r="C1442" s="13"/>
      <c r="D1442" s="13"/>
      <c r="E1442" s="7" t="str">
        <f aca="false">IF(D1442="","",IFERROR(INDEX(Materiali!$B:$B,MATCH(D1442,Materiali!$A:$A,0)),"codice?"))</f>
        <v/>
      </c>
      <c r="F1442" s="13"/>
      <c r="G1442" s="13"/>
      <c r="H1442" s="9" t="str">
        <f aca="false">IF(D1442="","",IFERROR(INDEX(Materiali!$C:$C,MATCH(D1442,Materiali!$A:$A,0)),0))</f>
        <v/>
      </c>
      <c r="I1442" s="9" t="str">
        <f aca="false">IF(OR(G1442="",H1442=""),"",IF(F1442="Uscita",-1,1)*G1442*H1442)</f>
        <v/>
      </c>
      <c r="J1442" s="13"/>
      <c r="K1442" s="13"/>
    </row>
    <row r="1443" customFormat="false" ht="15" hidden="false" customHeight="false" outlineLevel="0" collapsed="false">
      <c r="A1443" s="12"/>
      <c r="B1443" s="13"/>
      <c r="C1443" s="13"/>
      <c r="D1443" s="13"/>
      <c r="E1443" s="7" t="str">
        <f aca="false">IF(D1443="","",IFERROR(INDEX(Materiali!$B:$B,MATCH(D1443,Materiali!$A:$A,0)),"codice?"))</f>
        <v/>
      </c>
      <c r="F1443" s="13"/>
      <c r="G1443" s="13"/>
      <c r="H1443" s="9" t="str">
        <f aca="false">IF(D1443="","",IFERROR(INDEX(Materiali!$C:$C,MATCH(D1443,Materiali!$A:$A,0)),0))</f>
        <v/>
      </c>
      <c r="I1443" s="9" t="str">
        <f aca="false">IF(OR(G1443="",H1443=""),"",IF(F1443="Uscita",-1,1)*G1443*H1443)</f>
        <v/>
      </c>
      <c r="J1443" s="13"/>
      <c r="K1443" s="13"/>
    </row>
    <row r="1444" customFormat="false" ht="15" hidden="false" customHeight="false" outlineLevel="0" collapsed="false">
      <c r="A1444" s="12"/>
      <c r="B1444" s="13"/>
      <c r="C1444" s="13"/>
      <c r="D1444" s="13"/>
      <c r="E1444" s="7" t="str">
        <f aca="false">IF(D1444="","",IFERROR(INDEX(Materiali!$B:$B,MATCH(D1444,Materiali!$A:$A,0)),"codice?"))</f>
        <v/>
      </c>
      <c r="F1444" s="13"/>
      <c r="G1444" s="13"/>
      <c r="H1444" s="9" t="str">
        <f aca="false">IF(D1444="","",IFERROR(INDEX(Materiali!$C:$C,MATCH(D1444,Materiali!$A:$A,0)),0))</f>
        <v/>
      </c>
      <c r="I1444" s="9" t="str">
        <f aca="false">IF(OR(G1444="",H1444=""),"",IF(F1444="Uscita",-1,1)*G1444*H1444)</f>
        <v/>
      </c>
      <c r="J1444" s="13"/>
      <c r="K1444" s="13"/>
    </row>
    <row r="1445" customFormat="false" ht="15" hidden="false" customHeight="false" outlineLevel="0" collapsed="false">
      <c r="A1445" s="12"/>
      <c r="B1445" s="13"/>
      <c r="C1445" s="13"/>
      <c r="D1445" s="13"/>
      <c r="E1445" s="7" t="str">
        <f aca="false">IF(D1445="","",IFERROR(INDEX(Materiali!$B:$B,MATCH(D1445,Materiali!$A:$A,0)),"codice?"))</f>
        <v/>
      </c>
      <c r="F1445" s="13"/>
      <c r="G1445" s="13"/>
      <c r="H1445" s="9" t="str">
        <f aca="false">IF(D1445="","",IFERROR(INDEX(Materiali!$C:$C,MATCH(D1445,Materiali!$A:$A,0)),0))</f>
        <v/>
      </c>
      <c r="I1445" s="9" t="str">
        <f aca="false">IF(OR(G1445="",H1445=""),"",IF(F1445="Uscita",-1,1)*G1445*H1445)</f>
        <v/>
      </c>
      <c r="J1445" s="13"/>
      <c r="K1445" s="13"/>
    </row>
    <row r="1446" customFormat="false" ht="15" hidden="false" customHeight="false" outlineLevel="0" collapsed="false">
      <c r="A1446" s="12"/>
      <c r="B1446" s="13"/>
      <c r="C1446" s="13"/>
      <c r="D1446" s="13"/>
      <c r="E1446" s="7" t="str">
        <f aca="false">IF(D1446="","",IFERROR(INDEX(Materiali!$B:$B,MATCH(D1446,Materiali!$A:$A,0)),"codice?"))</f>
        <v/>
      </c>
      <c r="F1446" s="13"/>
      <c r="G1446" s="13"/>
      <c r="H1446" s="9" t="str">
        <f aca="false">IF(D1446="","",IFERROR(INDEX(Materiali!$C:$C,MATCH(D1446,Materiali!$A:$A,0)),0))</f>
        <v/>
      </c>
      <c r="I1446" s="9" t="str">
        <f aca="false">IF(OR(G1446="",H1446=""),"",IF(F1446="Uscita",-1,1)*G1446*H1446)</f>
        <v/>
      </c>
      <c r="J1446" s="13"/>
      <c r="K1446" s="13"/>
    </row>
    <row r="1447" customFormat="false" ht="15" hidden="false" customHeight="false" outlineLevel="0" collapsed="false">
      <c r="A1447" s="12"/>
      <c r="B1447" s="13"/>
      <c r="C1447" s="13"/>
      <c r="D1447" s="13"/>
      <c r="E1447" s="7" t="str">
        <f aca="false">IF(D1447="","",IFERROR(INDEX(Materiali!$B:$B,MATCH(D1447,Materiali!$A:$A,0)),"codice?"))</f>
        <v/>
      </c>
      <c r="F1447" s="13"/>
      <c r="G1447" s="13"/>
      <c r="H1447" s="9" t="str">
        <f aca="false">IF(D1447="","",IFERROR(INDEX(Materiali!$C:$C,MATCH(D1447,Materiali!$A:$A,0)),0))</f>
        <v/>
      </c>
      <c r="I1447" s="9" t="str">
        <f aca="false">IF(OR(G1447="",H1447=""),"",IF(F1447="Uscita",-1,1)*G1447*H1447)</f>
        <v/>
      </c>
      <c r="J1447" s="13"/>
      <c r="K1447" s="13"/>
    </row>
    <row r="1448" customFormat="false" ht="15" hidden="false" customHeight="false" outlineLevel="0" collapsed="false">
      <c r="A1448" s="12"/>
      <c r="B1448" s="13"/>
      <c r="C1448" s="13"/>
      <c r="D1448" s="13"/>
      <c r="E1448" s="7" t="str">
        <f aca="false">IF(D1448="","",IFERROR(INDEX(Materiali!$B:$B,MATCH(D1448,Materiali!$A:$A,0)),"codice?"))</f>
        <v/>
      </c>
      <c r="F1448" s="13"/>
      <c r="G1448" s="13"/>
      <c r="H1448" s="9" t="str">
        <f aca="false">IF(D1448="","",IFERROR(INDEX(Materiali!$C:$C,MATCH(D1448,Materiali!$A:$A,0)),0))</f>
        <v/>
      </c>
      <c r="I1448" s="9" t="str">
        <f aca="false">IF(OR(G1448="",H1448=""),"",IF(F1448="Uscita",-1,1)*G1448*H1448)</f>
        <v/>
      </c>
      <c r="J1448" s="13"/>
      <c r="K1448" s="13"/>
    </row>
    <row r="1449" customFormat="false" ht="15" hidden="false" customHeight="false" outlineLevel="0" collapsed="false">
      <c r="A1449" s="12"/>
      <c r="B1449" s="13"/>
      <c r="C1449" s="13"/>
      <c r="D1449" s="13"/>
      <c r="E1449" s="7" t="str">
        <f aca="false">IF(D1449="","",IFERROR(INDEX(Materiali!$B:$B,MATCH(D1449,Materiali!$A:$A,0)),"codice?"))</f>
        <v/>
      </c>
      <c r="F1449" s="13"/>
      <c r="G1449" s="13"/>
      <c r="H1449" s="9" t="str">
        <f aca="false">IF(D1449="","",IFERROR(INDEX(Materiali!$C:$C,MATCH(D1449,Materiali!$A:$A,0)),0))</f>
        <v/>
      </c>
      <c r="I1449" s="9" t="str">
        <f aca="false">IF(OR(G1449="",H1449=""),"",IF(F1449="Uscita",-1,1)*G1449*H1449)</f>
        <v/>
      </c>
      <c r="J1449" s="13"/>
      <c r="K1449" s="13"/>
    </row>
    <row r="1450" customFormat="false" ht="15" hidden="false" customHeight="false" outlineLevel="0" collapsed="false">
      <c r="A1450" s="12"/>
      <c r="B1450" s="13"/>
      <c r="C1450" s="13"/>
      <c r="D1450" s="13"/>
      <c r="E1450" s="7" t="str">
        <f aca="false">IF(D1450="","",IFERROR(INDEX(Materiali!$B:$B,MATCH(D1450,Materiali!$A:$A,0)),"codice?"))</f>
        <v/>
      </c>
      <c r="F1450" s="13"/>
      <c r="G1450" s="13"/>
      <c r="H1450" s="9" t="str">
        <f aca="false">IF(D1450="","",IFERROR(INDEX(Materiali!$C:$C,MATCH(D1450,Materiali!$A:$A,0)),0))</f>
        <v/>
      </c>
      <c r="I1450" s="9" t="str">
        <f aca="false">IF(OR(G1450="",H1450=""),"",IF(F1450="Uscita",-1,1)*G1450*H1450)</f>
        <v/>
      </c>
      <c r="J1450" s="13"/>
      <c r="K1450" s="13"/>
    </row>
    <row r="1451" customFormat="false" ht="15" hidden="false" customHeight="false" outlineLevel="0" collapsed="false">
      <c r="A1451" s="12"/>
      <c r="B1451" s="13"/>
      <c r="C1451" s="13"/>
      <c r="D1451" s="13"/>
      <c r="E1451" s="7" t="str">
        <f aca="false">IF(D1451="","",IFERROR(INDEX(Materiali!$B:$B,MATCH(D1451,Materiali!$A:$A,0)),"codice?"))</f>
        <v/>
      </c>
      <c r="F1451" s="13"/>
      <c r="G1451" s="13"/>
      <c r="H1451" s="9" t="str">
        <f aca="false">IF(D1451="","",IFERROR(INDEX(Materiali!$C:$C,MATCH(D1451,Materiali!$A:$A,0)),0))</f>
        <v/>
      </c>
      <c r="I1451" s="9" t="str">
        <f aca="false">IF(OR(G1451="",H1451=""),"",IF(F1451="Uscita",-1,1)*G1451*H1451)</f>
        <v/>
      </c>
      <c r="J1451" s="13"/>
      <c r="K1451" s="13"/>
    </row>
    <row r="1452" customFormat="false" ht="15" hidden="false" customHeight="false" outlineLevel="0" collapsed="false">
      <c r="A1452" s="12"/>
      <c r="B1452" s="13"/>
      <c r="C1452" s="13"/>
      <c r="D1452" s="13"/>
      <c r="E1452" s="7" t="str">
        <f aca="false">IF(D1452="","",IFERROR(INDEX(Materiali!$B:$B,MATCH(D1452,Materiali!$A:$A,0)),"codice?"))</f>
        <v/>
      </c>
      <c r="F1452" s="13"/>
      <c r="G1452" s="13"/>
      <c r="H1452" s="9" t="str">
        <f aca="false">IF(D1452="","",IFERROR(INDEX(Materiali!$C:$C,MATCH(D1452,Materiali!$A:$A,0)),0))</f>
        <v/>
      </c>
      <c r="I1452" s="9" t="str">
        <f aca="false">IF(OR(G1452="",H1452=""),"",IF(F1452="Uscita",-1,1)*G1452*H1452)</f>
        <v/>
      </c>
      <c r="J1452" s="13"/>
      <c r="K1452" s="13"/>
    </row>
    <row r="1453" customFormat="false" ht="15" hidden="false" customHeight="false" outlineLevel="0" collapsed="false">
      <c r="A1453" s="12"/>
      <c r="B1453" s="13"/>
      <c r="C1453" s="13"/>
      <c r="D1453" s="13"/>
      <c r="E1453" s="7" t="str">
        <f aca="false">IF(D1453="","",IFERROR(INDEX(Materiali!$B:$B,MATCH(D1453,Materiali!$A:$A,0)),"codice?"))</f>
        <v/>
      </c>
      <c r="F1453" s="13"/>
      <c r="G1453" s="13"/>
      <c r="H1453" s="9" t="str">
        <f aca="false">IF(D1453="","",IFERROR(INDEX(Materiali!$C:$C,MATCH(D1453,Materiali!$A:$A,0)),0))</f>
        <v/>
      </c>
      <c r="I1453" s="9" t="str">
        <f aca="false">IF(OR(G1453="",H1453=""),"",IF(F1453="Uscita",-1,1)*G1453*H1453)</f>
        <v/>
      </c>
      <c r="J1453" s="13"/>
      <c r="K1453" s="13"/>
    </row>
    <row r="1454" customFormat="false" ht="15" hidden="false" customHeight="false" outlineLevel="0" collapsed="false">
      <c r="A1454" s="12"/>
      <c r="B1454" s="13"/>
      <c r="C1454" s="13"/>
      <c r="D1454" s="13"/>
      <c r="E1454" s="7" t="str">
        <f aca="false">IF(D1454="","",IFERROR(INDEX(Materiali!$B:$B,MATCH(D1454,Materiali!$A:$A,0)),"codice?"))</f>
        <v/>
      </c>
      <c r="F1454" s="13"/>
      <c r="G1454" s="13"/>
      <c r="H1454" s="9" t="str">
        <f aca="false">IF(D1454="","",IFERROR(INDEX(Materiali!$C:$C,MATCH(D1454,Materiali!$A:$A,0)),0))</f>
        <v/>
      </c>
      <c r="I1454" s="9" t="str">
        <f aca="false">IF(OR(G1454="",H1454=""),"",IF(F1454="Uscita",-1,1)*G1454*H1454)</f>
        <v/>
      </c>
      <c r="J1454" s="13"/>
      <c r="K1454" s="13"/>
    </row>
    <row r="1455" customFormat="false" ht="15" hidden="false" customHeight="false" outlineLevel="0" collapsed="false">
      <c r="A1455" s="12"/>
      <c r="B1455" s="13"/>
      <c r="C1455" s="13"/>
      <c r="D1455" s="13"/>
      <c r="E1455" s="7" t="str">
        <f aca="false">IF(D1455="","",IFERROR(INDEX(Materiali!$B:$B,MATCH(D1455,Materiali!$A:$A,0)),"codice?"))</f>
        <v/>
      </c>
      <c r="F1455" s="13"/>
      <c r="G1455" s="13"/>
      <c r="H1455" s="9" t="str">
        <f aca="false">IF(D1455="","",IFERROR(INDEX(Materiali!$C:$C,MATCH(D1455,Materiali!$A:$A,0)),0))</f>
        <v/>
      </c>
      <c r="I1455" s="9" t="str">
        <f aca="false">IF(OR(G1455="",H1455=""),"",IF(F1455="Uscita",-1,1)*G1455*H1455)</f>
        <v/>
      </c>
      <c r="J1455" s="13"/>
      <c r="K1455" s="13"/>
    </row>
    <row r="1456" customFormat="false" ht="15" hidden="false" customHeight="false" outlineLevel="0" collapsed="false">
      <c r="A1456" s="12"/>
      <c r="B1456" s="13"/>
      <c r="C1456" s="13"/>
      <c r="D1456" s="13"/>
      <c r="E1456" s="7" t="str">
        <f aca="false">IF(D1456="","",IFERROR(INDEX(Materiali!$B:$B,MATCH(D1456,Materiali!$A:$A,0)),"codice?"))</f>
        <v/>
      </c>
      <c r="F1456" s="13"/>
      <c r="G1456" s="13"/>
      <c r="H1456" s="9" t="str">
        <f aca="false">IF(D1456="","",IFERROR(INDEX(Materiali!$C:$C,MATCH(D1456,Materiali!$A:$A,0)),0))</f>
        <v/>
      </c>
      <c r="I1456" s="9" t="str">
        <f aca="false">IF(OR(G1456="",H1456=""),"",IF(F1456="Uscita",-1,1)*G1456*H1456)</f>
        <v/>
      </c>
      <c r="J1456" s="13"/>
      <c r="K1456" s="13"/>
    </row>
    <row r="1457" customFormat="false" ht="15" hidden="false" customHeight="false" outlineLevel="0" collapsed="false">
      <c r="A1457" s="12"/>
      <c r="B1457" s="13"/>
      <c r="C1457" s="13"/>
      <c r="D1457" s="13"/>
      <c r="E1457" s="7" t="str">
        <f aca="false">IF(D1457="","",IFERROR(INDEX(Materiali!$B:$B,MATCH(D1457,Materiali!$A:$A,0)),"codice?"))</f>
        <v/>
      </c>
      <c r="F1457" s="13"/>
      <c r="G1457" s="13"/>
      <c r="H1457" s="9" t="str">
        <f aca="false">IF(D1457="","",IFERROR(INDEX(Materiali!$C:$C,MATCH(D1457,Materiali!$A:$A,0)),0))</f>
        <v/>
      </c>
      <c r="I1457" s="9" t="str">
        <f aca="false">IF(OR(G1457="",H1457=""),"",IF(F1457="Uscita",-1,1)*G1457*H1457)</f>
        <v/>
      </c>
      <c r="J1457" s="13"/>
      <c r="K1457" s="13"/>
    </row>
    <row r="1458" customFormat="false" ht="15" hidden="false" customHeight="false" outlineLevel="0" collapsed="false">
      <c r="A1458" s="12"/>
      <c r="B1458" s="13"/>
      <c r="C1458" s="13"/>
      <c r="D1458" s="13"/>
      <c r="E1458" s="7" t="str">
        <f aca="false">IF(D1458="","",IFERROR(INDEX(Materiali!$B:$B,MATCH(D1458,Materiali!$A:$A,0)),"codice?"))</f>
        <v/>
      </c>
      <c r="F1458" s="13"/>
      <c r="G1458" s="13"/>
      <c r="H1458" s="9" t="str">
        <f aca="false">IF(D1458="","",IFERROR(INDEX(Materiali!$C:$C,MATCH(D1458,Materiali!$A:$A,0)),0))</f>
        <v/>
      </c>
      <c r="I1458" s="9" t="str">
        <f aca="false">IF(OR(G1458="",H1458=""),"",IF(F1458="Uscita",-1,1)*G1458*H1458)</f>
        <v/>
      </c>
      <c r="J1458" s="13"/>
      <c r="K1458" s="13"/>
    </row>
    <row r="1459" customFormat="false" ht="15" hidden="false" customHeight="false" outlineLevel="0" collapsed="false">
      <c r="A1459" s="12"/>
      <c r="B1459" s="13"/>
      <c r="C1459" s="13"/>
      <c r="D1459" s="13"/>
      <c r="E1459" s="7" t="str">
        <f aca="false">IF(D1459="","",IFERROR(INDEX(Materiali!$B:$B,MATCH(D1459,Materiali!$A:$A,0)),"codice?"))</f>
        <v/>
      </c>
      <c r="F1459" s="13"/>
      <c r="G1459" s="13"/>
      <c r="H1459" s="9" t="str">
        <f aca="false">IF(D1459="","",IFERROR(INDEX(Materiali!$C:$C,MATCH(D1459,Materiali!$A:$A,0)),0))</f>
        <v/>
      </c>
      <c r="I1459" s="9" t="str">
        <f aca="false">IF(OR(G1459="",H1459=""),"",IF(F1459="Uscita",-1,1)*G1459*H1459)</f>
        <v/>
      </c>
      <c r="J1459" s="13"/>
      <c r="K1459" s="13"/>
    </row>
    <row r="1460" customFormat="false" ht="15" hidden="false" customHeight="false" outlineLevel="0" collapsed="false">
      <c r="A1460" s="12"/>
      <c r="B1460" s="13"/>
      <c r="C1460" s="13"/>
      <c r="D1460" s="13"/>
      <c r="E1460" s="7" t="str">
        <f aca="false">IF(D1460="","",IFERROR(INDEX(Materiali!$B:$B,MATCH(D1460,Materiali!$A:$A,0)),"codice?"))</f>
        <v/>
      </c>
      <c r="F1460" s="13"/>
      <c r="G1460" s="13"/>
      <c r="H1460" s="9" t="str">
        <f aca="false">IF(D1460="","",IFERROR(INDEX(Materiali!$C:$C,MATCH(D1460,Materiali!$A:$A,0)),0))</f>
        <v/>
      </c>
      <c r="I1460" s="9" t="str">
        <f aca="false">IF(OR(G1460="",H1460=""),"",IF(F1460="Uscita",-1,1)*G1460*H1460)</f>
        <v/>
      </c>
      <c r="J1460" s="13"/>
      <c r="K1460" s="13"/>
    </row>
    <row r="1461" customFormat="false" ht="15" hidden="false" customHeight="false" outlineLevel="0" collapsed="false">
      <c r="A1461" s="12"/>
      <c r="B1461" s="13"/>
      <c r="C1461" s="13"/>
      <c r="D1461" s="13"/>
      <c r="E1461" s="7" t="str">
        <f aca="false">IF(D1461="","",IFERROR(INDEX(Materiali!$B:$B,MATCH(D1461,Materiali!$A:$A,0)),"codice?"))</f>
        <v/>
      </c>
      <c r="F1461" s="13"/>
      <c r="G1461" s="13"/>
      <c r="H1461" s="9" t="str">
        <f aca="false">IF(D1461="","",IFERROR(INDEX(Materiali!$C:$C,MATCH(D1461,Materiali!$A:$A,0)),0))</f>
        <v/>
      </c>
      <c r="I1461" s="9" t="str">
        <f aca="false">IF(OR(G1461="",H1461=""),"",IF(F1461="Uscita",-1,1)*G1461*H1461)</f>
        <v/>
      </c>
      <c r="J1461" s="13"/>
      <c r="K1461" s="13"/>
    </row>
    <row r="1462" customFormat="false" ht="15" hidden="false" customHeight="false" outlineLevel="0" collapsed="false">
      <c r="A1462" s="12"/>
      <c r="B1462" s="13"/>
      <c r="C1462" s="13"/>
      <c r="D1462" s="13"/>
      <c r="E1462" s="7" t="str">
        <f aca="false">IF(D1462="","",IFERROR(INDEX(Materiali!$B:$B,MATCH(D1462,Materiali!$A:$A,0)),"codice?"))</f>
        <v/>
      </c>
      <c r="F1462" s="13"/>
      <c r="G1462" s="13"/>
      <c r="H1462" s="9" t="str">
        <f aca="false">IF(D1462="","",IFERROR(INDEX(Materiali!$C:$C,MATCH(D1462,Materiali!$A:$A,0)),0))</f>
        <v/>
      </c>
      <c r="I1462" s="9" t="str">
        <f aca="false">IF(OR(G1462="",H1462=""),"",IF(F1462="Uscita",-1,1)*G1462*H1462)</f>
        <v/>
      </c>
      <c r="J1462" s="13"/>
      <c r="K1462" s="13"/>
    </row>
    <row r="1463" customFormat="false" ht="15" hidden="false" customHeight="false" outlineLevel="0" collapsed="false">
      <c r="A1463" s="12"/>
      <c r="B1463" s="13"/>
      <c r="C1463" s="13"/>
      <c r="D1463" s="13"/>
      <c r="E1463" s="7" t="str">
        <f aca="false">IF(D1463="","",IFERROR(INDEX(Materiali!$B:$B,MATCH(D1463,Materiali!$A:$A,0)),"codice?"))</f>
        <v/>
      </c>
      <c r="F1463" s="13"/>
      <c r="G1463" s="13"/>
      <c r="H1463" s="9" t="str">
        <f aca="false">IF(D1463="","",IFERROR(INDEX(Materiali!$C:$C,MATCH(D1463,Materiali!$A:$A,0)),0))</f>
        <v/>
      </c>
      <c r="I1463" s="9" t="str">
        <f aca="false">IF(OR(G1463="",H1463=""),"",IF(F1463="Uscita",-1,1)*G1463*H1463)</f>
        <v/>
      </c>
      <c r="J1463" s="13"/>
      <c r="K1463" s="13"/>
    </row>
    <row r="1464" customFormat="false" ht="15" hidden="false" customHeight="false" outlineLevel="0" collapsed="false">
      <c r="A1464" s="12"/>
      <c r="B1464" s="13"/>
      <c r="C1464" s="13"/>
      <c r="D1464" s="13"/>
      <c r="E1464" s="7" t="str">
        <f aca="false">IF(D1464="","",IFERROR(INDEX(Materiali!$B:$B,MATCH(D1464,Materiali!$A:$A,0)),"codice?"))</f>
        <v/>
      </c>
      <c r="F1464" s="13"/>
      <c r="G1464" s="13"/>
      <c r="H1464" s="9" t="str">
        <f aca="false">IF(D1464="","",IFERROR(INDEX(Materiali!$C:$C,MATCH(D1464,Materiali!$A:$A,0)),0))</f>
        <v/>
      </c>
      <c r="I1464" s="9" t="str">
        <f aca="false">IF(OR(G1464="",H1464=""),"",IF(F1464="Uscita",-1,1)*G1464*H1464)</f>
        <v/>
      </c>
      <c r="J1464" s="13"/>
      <c r="K1464" s="13"/>
    </row>
    <row r="1465" customFormat="false" ht="15" hidden="false" customHeight="false" outlineLevel="0" collapsed="false">
      <c r="A1465" s="12"/>
      <c r="B1465" s="13"/>
      <c r="C1465" s="13"/>
      <c r="D1465" s="13"/>
      <c r="E1465" s="7" t="str">
        <f aca="false">IF(D1465="","",IFERROR(INDEX(Materiali!$B:$B,MATCH(D1465,Materiali!$A:$A,0)),"codice?"))</f>
        <v/>
      </c>
      <c r="F1465" s="13"/>
      <c r="G1465" s="13"/>
      <c r="H1465" s="9" t="str">
        <f aca="false">IF(D1465="","",IFERROR(INDEX(Materiali!$C:$C,MATCH(D1465,Materiali!$A:$A,0)),0))</f>
        <v/>
      </c>
      <c r="I1465" s="9" t="str">
        <f aca="false">IF(OR(G1465="",H1465=""),"",IF(F1465="Uscita",-1,1)*G1465*H1465)</f>
        <v/>
      </c>
      <c r="J1465" s="13"/>
      <c r="K1465" s="13"/>
    </row>
    <row r="1466" customFormat="false" ht="15" hidden="false" customHeight="false" outlineLevel="0" collapsed="false">
      <c r="A1466" s="12"/>
      <c r="B1466" s="13"/>
      <c r="C1466" s="13"/>
      <c r="D1466" s="13"/>
      <c r="E1466" s="7" t="str">
        <f aca="false">IF(D1466="","",IFERROR(INDEX(Materiali!$B:$B,MATCH(D1466,Materiali!$A:$A,0)),"codice?"))</f>
        <v/>
      </c>
      <c r="F1466" s="13"/>
      <c r="G1466" s="13"/>
      <c r="H1466" s="9" t="str">
        <f aca="false">IF(D1466="","",IFERROR(INDEX(Materiali!$C:$C,MATCH(D1466,Materiali!$A:$A,0)),0))</f>
        <v/>
      </c>
      <c r="I1466" s="9" t="str">
        <f aca="false">IF(OR(G1466="",H1466=""),"",IF(F1466="Uscita",-1,1)*G1466*H1466)</f>
        <v/>
      </c>
      <c r="J1466" s="13"/>
      <c r="K1466" s="13"/>
    </row>
    <row r="1467" customFormat="false" ht="15" hidden="false" customHeight="false" outlineLevel="0" collapsed="false">
      <c r="A1467" s="12"/>
      <c r="B1467" s="13"/>
      <c r="C1467" s="13"/>
      <c r="D1467" s="13"/>
      <c r="E1467" s="7" t="str">
        <f aca="false">IF(D1467="","",IFERROR(INDEX(Materiali!$B:$B,MATCH(D1467,Materiali!$A:$A,0)),"codice?"))</f>
        <v/>
      </c>
      <c r="F1467" s="13"/>
      <c r="G1467" s="13"/>
      <c r="H1467" s="9" t="str">
        <f aca="false">IF(D1467="","",IFERROR(INDEX(Materiali!$C:$C,MATCH(D1467,Materiali!$A:$A,0)),0))</f>
        <v/>
      </c>
      <c r="I1467" s="9" t="str">
        <f aca="false">IF(OR(G1467="",H1467=""),"",IF(F1467="Uscita",-1,1)*G1467*H1467)</f>
        <v/>
      </c>
      <c r="J1467" s="13"/>
      <c r="K1467" s="13"/>
    </row>
    <row r="1468" customFormat="false" ht="15" hidden="false" customHeight="false" outlineLevel="0" collapsed="false">
      <c r="A1468" s="12"/>
      <c r="B1468" s="13"/>
      <c r="C1468" s="13"/>
      <c r="D1468" s="13"/>
      <c r="E1468" s="7" t="str">
        <f aca="false">IF(D1468="","",IFERROR(INDEX(Materiali!$B:$B,MATCH(D1468,Materiali!$A:$A,0)),"codice?"))</f>
        <v/>
      </c>
      <c r="F1468" s="13"/>
      <c r="G1468" s="13"/>
      <c r="H1468" s="9" t="str">
        <f aca="false">IF(D1468="","",IFERROR(INDEX(Materiali!$C:$C,MATCH(D1468,Materiali!$A:$A,0)),0))</f>
        <v/>
      </c>
      <c r="I1468" s="9" t="str">
        <f aca="false">IF(OR(G1468="",H1468=""),"",IF(F1468="Uscita",-1,1)*G1468*H1468)</f>
        <v/>
      </c>
      <c r="J1468" s="13"/>
      <c r="K1468" s="13"/>
    </row>
    <row r="1469" customFormat="false" ht="15" hidden="false" customHeight="false" outlineLevel="0" collapsed="false">
      <c r="A1469" s="12"/>
      <c r="B1469" s="13"/>
      <c r="C1469" s="13"/>
      <c r="D1469" s="13"/>
      <c r="E1469" s="7" t="str">
        <f aca="false">IF(D1469="","",IFERROR(INDEX(Materiali!$B:$B,MATCH(D1469,Materiali!$A:$A,0)),"codice?"))</f>
        <v/>
      </c>
      <c r="F1469" s="13"/>
      <c r="G1469" s="13"/>
      <c r="H1469" s="9" t="str">
        <f aca="false">IF(D1469="","",IFERROR(INDEX(Materiali!$C:$C,MATCH(D1469,Materiali!$A:$A,0)),0))</f>
        <v/>
      </c>
      <c r="I1469" s="9" t="str">
        <f aca="false">IF(OR(G1469="",H1469=""),"",IF(F1469="Uscita",-1,1)*G1469*H1469)</f>
        <v/>
      </c>
      <c r="J1469" s="13"/>
      <c r="K1469" s="13"/>
    </row>
    <row r="1470" customFormat="false" ht="15" hidden="false" customHeight="false" outlineLevel="0" collapsed="false">
      <c r="A1470" s="12"/>
      <c r="B1470" s="13"/>
      <c r="C1470" s="13"/>
      <c r="D1470" s="13"/>
      <c r="E1470" s="7" t="str">
        <f aca="false">IF(D1470="","",IFERROR(INDEX(Materiali!$B:$B,MATCH(D1470,Materiali!$A:$A,0)),"codice?"))</f>
        <v/>
      </c>
      <c r="F1470" s="13"/>
      <c r="G1470" s="13"/>
      <c r="H1470" s="9" t="str">
        <f aca="false">IF(D1470="","",IFERROR(INDEX(Materiali!$C:$C,MATCH(D1470,Materiali!$A:$A,0)),0))</f>
        <v/>
      </c>
      <c r="I1470" s="9" t="str">
        <f aca="false">IF(OR(G1470="",H1470=""),"",IF(F1470="Uscita",-1,1)*G1470*H1470)</f>
        <v/>
      </c>
      <c r="J1470" s="13"/>
      <c r="K1470" s="13"/>
    </row>
    <row r="1471" customFormat="false" ht="15" hidden="false" customHeight="false" outlineLevel="0" collapsed="false">
      <c r="A1471" s="12"/>
      <c r="B1471" s="13"/>
      <c r="C1471" s="13"/>
      <c r="D1471" s="13"/>
      <c r="E1471" s="7" t="str">
        <f aca="false">IF(D1471="","",IFERROR(INDEX(Materiali!$B:$B,MATCH(D1471,Materiali!$A:$A,0)),"codice?"))</f>
        <v/>
      </c>
      <c r="F1471" s="13"/>
      <c r="G1471" s="13"/>
      <c r="H1471" s="9" t="str">
        <f aca="false">IF(D1471="","",IFERROR(INDEX(Materiali!$C:$C,MATCH(D1471,Materiali!$A:$A,0)),0))</f>
        <v/>
      </c>
      <c r="I1471" s="9" t="str">
        <f aca="false">IF(OR(G1471="",H1471=""),"",IF(F1471="Uscita",-1,1)*G1471*H1471)</f>
        <v/>
      </c>
      <c r="J1471" s="13"/>
      <c r="K1471" s="13"/>
    </row>
    <row r="1472" customFormat="false" ht="15" hidden="false" customHeight="false" outlineLevel="0" collapsed="false">
      <c r="A1472" s="12"/>
      <c r="B1472" s="13"/>
      <c r="C1472" s="13"/>
      <c r="D1472" s="13"/>
      <c r="E1472" s="7" t="str">
        <f aca="false">IF(D1472="","",IFERROR(INDEX(Materiali!$B:$B,MATCH(D1472,Materiali!$A:$A,0)),"codice?"))</f>
        <v/>
      </c>
      <c r="F1472" s="13"/>
      <c r="G1472" s="13"/>
      <c r="H1472" s="9" t="str">
        <f aca="false">IF(D1472="","",IFERROR(INDEX(Materiali!$C:$C,MATCH(D1472,Materiali!$A:$A,0)),0))</f>
        <v/>
      </c>
      <c r="I1472" s="9" t="str">
        <f aca="false">IF(OR(G1472="",H1472=""),"",IF(F1472="Uscita",-1,1)*G1472*H1472)</f>
        <v/>
      </c>
      <c r="J1472" s="13"/>
      <c r="K1472" s="13"/>
    </row>
    <row r="1473" customFormat="false" ht="15" hidden="false" customHeight="false" outlineLevel="0" collapsed="false">
      <c r="A1473" s="12"/>
      <c r="B1473" s="13"/>
      <c r="C1473" s="13"/>
      <c r="D1473" s="13"/>
      <c r="E1473" s="7" t="str">
        <f aca="false">IF(D1473="","",IFERROR(INDEX(Materiali!$B:$B,MATCH(D1473,Materiali!$A:$A,0)),"codice?"))</f>
        <v/>
      </c>
      <c r="F1473" s="13"/>
      <c r="G1473" s="13"/>
      <c r="H1473" s="9" t="str">
        <f aca="false">IF(D1473="","",IFERROR(INDEX(Materiali!$C:$C,MATCH(D1473,Materiali!$A:$A,0)),0))</f>
        <v/>
      </c>
      <c r="I1473" s="9" t="str">
        <f aca="false">IF(OR(G1473="",H1473=""),"",IF(F1473="Uscita",-1,1)*G1473*H1473)</f>
        <v/>
      </c>
      <c r="J1473" s="13"/>
      <c r="K1473" s="13"/>
    </row>
    <row r="1474" customFormat="false" ht="15" hidden="false" customHeight="false" outlineLevel="0" collapsed="false">
      <c r="A1474" s="12"/>
      <c r="B1474" s="13"/>
      <c r="C1474" s="13"/>
      <c r="D1474" s="13"/>
      <c r="E1474" s="7" t="str">
        <f aca="false">IF(D1474="","",IFERROR(INDEX(Materiali!$B:$B,MATCH(D1474,Materiali!$A:$A,0)),"codice?"))</f>
        <v/>
      </c>
      <c r="F1474" s="13"/>
      <c r="G1474" s="13"/>
      <c r="H1474" s="9" t="str">
        <f aca="false">IF(D1474="","",IFERROR(INDEX(Materiali!$C:$C,MATCH(D1474,Materiali!$A:$A,0)),0))</f>
        <v/>
      </c>
      <c r="I1474" s="9" t="str">
        <f aca="false">IF(OR(G1474="",H1474=""),"",IF(F1474="Uscita",-1,1)*G1474*H1474)</f>
        <v/>
      </c>
      <c r="J1474" s="13"/>
      <c r="K1474" s="13"/>
    </row>
    <row r="1475" customFormat="false" ht="15" hidden="false" customHeight="false" outlineLevel="0" collapsed="false">
      <c r="A1475" s="12"/>
      <c r="B1475" s="13"/>
      <c r="C1475" s="13"/>
      <c r="D1475" s="13"/>
      <c r="E1475" s="7" t="str">
        <f aca="false">IF(D1475="","",IFERROR(INDEX(Materiali!$B:$B,MATCH(D1475,Materiali!$A:$A,0)),"codice?"))</f>
        <v/>
      </c>
      <c r="F1475" s="13"/>
      <c r="G1475" s="13"/>
      <c r="H1475" s="9" t="str">
        <f aca="false">IF(D1475="","",IFERROR(INDEX(Materiali!$C:$C,MATCH(D1475,Materiali!$A:$A,0)),0))</f>
        <v/>
      </c>
      <c r="I1475" s="9" t="str">
        <f aca="false">IF(OR(G1475="",H1475=""),"",IF(F1475="Uscita",-1,1)*G1475*H1475)</f>
        <v/>
      </c>
      <c r="J1475" s="13"/>
      <c r="K1475" s="13"/>
    </row>
    <row r="1476" customFormat="false" ht="15" hidden="false" customHeight="false" outlineLevel="0" collapsed="false">
      <c r="A1476" s="12"/>
      <c r="B1476" s="13"/>
      <c r="C1476" s="13"/>
      <c r="D1476" s="13"/>
      <c r="E1476" s="7" t="str">
        <f aca="false">IF(D1476="","",IFERROR(INDEX(Materiali!$B:$B,MATCH(D1476,Materiali!$A:$A,0)),"codice?"))</f>
        <v/>
      </c>
      <c r="F1476" s="13"/>
      <c r="G1476" s="13"/>
      <c r="H1476" s="9" t="str">
        <f aca="false">IF(D1476="","",IFERROR(INDEX(Materiali!$C:$C,MATCH(D1476,Materiali!$A:$A,0)),0))</f>
        <v/>
      </c>
      <c r="I1476" s="9" t="str">
        <f aca="false">IF(OR(G1476="",H1476=""),"",IF(F1476="Uscita",-1,1)*G1476*H1476)</f>
        <v/>
      </c>
      <c r="J1476" s="13"/>
      <c r="K1476" s="13"/>
    </row>
    <row r="1477" customFormat="false" ht="15" hidden="false" customHeight="false" outlineLevel="0" collapsed="false">
      <c r="A1477" s="12"/>
      <c r="B1477" s="13"/>
      <c r="C1477" s="13"/>
      <c r="D1477" s="13"/>
      <c r="E1477" s="7" t="str">
        <f aca="false">IF(D1477="","",IFERROR(INDEX(Materiali!$B:$B,MATCH(D1477,Materiali!$A:$A,0)),"codice?"))</f>
        <v/>
      </c>
      <c r="F1477" s="13"/>
      <c r="G1477" s="13"/>
      <c r="H1477" s="9" t="str">
        <f aca="false">IF(D1477="","",IFERROR(INDEX(Materiali!$C:$C,MATCH(D1477,Materiali!$A:$A,0)),0))</f>
        <v/>
      </c>
      <c r="I1477" s="9" t="str">
        <f aca="false">IF(OR(G1477="",H1477=""),"",IF(F1477="Uscita",-1,1)*G1477*H1477)</f>
        <v/>
      </c>
      <c r="J1477" s="13"/>
      <c r="K1477" s="13"/>
    </row>
    <row r="1478" customFormat="false" ht="15" hidden="false" customHeight="false" outlineLevel="0" collapsed="false">
      <c r="A1478" s="12"/>
      <c r="B1478" s="13"/>
      <c r="C1478" s="13"/>
      <c r="D1478" s="13"/>
      <c r="E1478" s="7" t="str">
        <f aca="false">IF(D1478="","",IFERROR(INDEX(Materiali!$B:$B,MATCH(D1478,Materiali!$A:$A,0)),"codice?"))</f>
        <v/>
      </c>
      <c r="F1478" s="13"/>
      <c r="G1478" s="13"/>
      <c r="H1478" s="9" t="str">
        <f aca="false">IF(D1478="","",IFERROR(INDEX(Materiali!$C:$C,MATCH(D1478,Materiali!$A:$A,0)),0))</f>
        <v/>
      </c>
      <c r="I1478" s="9" t="str">
        <f aca="false">IF(OR(G1478="",H1478=""),"",IF(F1478="Uscita",-1,1)*G1478*H1478)</f>
        <v/>
      </c>
      <c r="J1478" s="13"/>
      <c r="K1478" s="13"/>
    </row>
    <row r="1479" customFormat="false" ht="15" hidden="false" customHeight="false" outlineLevel="0" collapsed="false">
      <c r="A1479" s="12"/>
      <c r="B1479" s="13"/>
      <c r="C1479" s="13"/>
      <c r="D1479" s="13"/>
      <c r="E1479" s="7" t="str">
        <f aca="false">IF(D1479="","",IFERROR(INDEX(Materiali!$B:$B,MATCH(D1479,Materiali!$A:$A,0)),"codice?"))</f>
        <v/>
      </c>
      <c r="F1479" s="13"/>
      <c r="G1479" s="13"/>
      <c r="H1479" s="9" t="str">
        <f aca="false">IF(D1479="","",IFERROR(INDEX(Materiali!$C:$C,MATCH(D1479,Materiali!$A:$A,0)),0))</f>
        <v/>
      </c>
      <c r="I1479" s="9" t="str">
        <f aca="false">IF(OR(G1479="",H1479=""),"",IF(F1479="Uscita",-1,1)*G1479*H1479)</f>
        <v/>
      </c>
      <c r="J1479" s="13"/>
      <c r="K1479" s="13"/>
    </row>
    <row r="1480" customFormat="false" ht="15" hidden="false" customHeight="false" outlineLevel="0" collapsed="false">
      <c r="A1480" s="12"/>
      <c r="B1480" s="13"/>
      <c r="C1480" s="13"/>
      <c r="D1480" s="13"/>
      <c r="E1480" s="7" t="str">
        <f aca="false">IF(D1480="","",IFERROR(INDEX(Materiali!$B:$B,MATCH(D1480,Materiali!$A:$A,0)),"codice?"))</f>
        <v/>
      </c>
      <c r="F1480" s="13"/>
      <c r="G1480" s="13"/>
      <c r="H1480" s="9" t="str">
        <f aca="false">IF(D1480="","",IFERROR(INDEX(Materiali!$C:$C,MATCH(D1480,Materiali!$A:$A,0)),0))</f>
        <v/>
      </c>
      <c r="I1480" s="9" t="str">
        <f aca="false">IF(OR(G1480="",H1480=""),"",IF(F1480="Uscita",-1,1)*G1480*H1480)</f>
        <v/>
      </c>
      <c r="J1480" s="13"/>
      <c r="K1480" s="13"/>
    </row>
    <row r="1481" customFormat="false" ht="15" hidden="false" customHeight="false" outlineLevel="0" collapsed="false">
      <c r="A1481" s="12"/>
      <c r="B1481" s="13"/>
      <c r="C1481" s="13"/>
      <c r="D1481" s="13"/>
      <c r="E1481" s="7" t="str">
        <f aca="false">IF(D1481="","",IFERROR(INDEX(Materiali!$B:$B,MATCH(D1481,Materiali!$A:$A,0)),"codice?"))</f>
        <v/>
      </c>
      <c r="F1481" s="13"/>
      <c r="G1481" s="13"/>
      <c r="H1481" s="9" t="str">
        <f aca="false">IF(D1481="","",IFERROR(INDEX(Materiali!$C:$C,MATCH(D1481,Materiali!$A:$A,0)),0))</f>
        <v/>
      </c>
      <c r="I1481" s="9" t="str">
        <f aca="false">IF(OR(G1481="",H1481=""),"",IF(F1481="Uscita",-1,1)*G1481*H1481)</f>
        <v/>
      </c>
      <c r="J1481" s="13"/>
      <c r="K1481" s="13"/>
    </row>
    <row r="1482" customFormat="false" ht="15" hidden="false" customHeight="false" outlineLevel="0" collapsed="false">
      <c r="A1482" s="12"/>
      <c r="B1482" s="13"/>
      <c r="C1482" s="13"/>
      <c r="D1482" s="13"/>
      <c r="E1482" s="7" t="str">
        <f aca="false">IF(D1482="","",IFERROR(INDEX(Materiali!$B:$B,MATCH(D1482,Materiali!$A:$A,0)),"codice?"))</f>
        <v/>
      </c>
      <c r="F1482" s="13"/>
      <c r="G1482" s="13"/>
      <c r="H1482" s="9" t="str">
        <f aca="false">IF(D1482="","",IFERROR(INDEX(Materiali!$C:$C,MATCH(D1482,Materiali!$A:$A,0)),0))</f>
        <v/>
      </c>
      <c r="I1482" s="9" t="str">
        <f aca="false">IF(OR(G1482="",H1482=""),"",IF(F1482="Uscita",-1,1)*G1482*H1482)</f>
        <v/>
      </c>
      <c r="J1482" s="13"/>
      <c r="K1482" s="13"/>
    </row>
    <row r="1483" customFormat="false" ht="15" hidden="false" customHeight="false" outlineLevel="0" collapsed="false">
      <c r="A1483" s="12"/>
      <c r="B1483" s="13"/>
      <c r="C1483" s="13"/>
      <c r="D1483" s="13"/>
      <c r="E1483" s="7" t="str">
        <f aca="false">IF(D1483="","",IFERROR(INDEX(Materiali!$B:$B,MATCH(D1483,Materiali!$A:$A,0)),"codice?"))</f>
        <v/>
      </c>
      <c r="F1483" s="13"/>
      <c r="G1483" s="13"/>
      <c r="H1483" s="9" t="str">
        <f aca="false">IF(D1483="","",IFERROR(INDEX(Materiali!$C:$C,MATCH(D1483,Materiali!$A:$A,0)),0))</f>
        <v/>
      </c>
      <c r="I1483" s="9" t="str">
        <f aca="false">IF(OR(G1483="",H1483=""),"",IF(F1483="Uscita",-1,1)*G1483*H1483)</f>
        <v/>
      </c>
      <c r="J1483" s="13"/>
      <c r="K1483" s="13"/>
    </row>
    <row r="1484" customFormat="false" ht="15" hidden="false" customHeight="false" outlineLevel="0" collapsed="false">
      <c r="A1484" s="12"/>
      <c r="B1484" s="13"/>
      <c r="C1484" s="13"/>
      <c r="D1484" s="13"/>
      <c r="E1484" s="7" t="str">
        <f aca="false">IF(D1484="","",IFERROR(INDEX(Materiali!$B:$B,MATCH(D1484,Materiali!$A:$A,0)),"codice?"))</f>
        <v/>
      </c>
      <c r="F1484" s="13"/>
      <c r="G1484" s="13"/>
      <c r="H1484" s="9" t="str">
        <f aca="false">IF(D1484="","",IFERROR(INDEX(Materiali!$C:$C,MATCH(D1484,Materiali!$A:$A,0)),0))</f>
        <v/>
      </c>
      <c r="I1484" s="9" t="str">
        <f aca="false">IF(OR(G1484="",H1484=""),"",IF(F1484="Uscita",-1,1)*G1484*H1484)</f>
        <v/>
      </c>
      <c r="J1484" s="13"/>
      <c r="K1484" s="13"/>
    </row>
    <row r="1485" customFormat="false" ht="15" hidden="false" customHeight="false" outlineLevel="0" collapsed="false">
      <c r="A1485" s="12"/>
      <c r="B1485" s="13"/>
      <c r="C1485" s="13"/>
      <c r="D1485" s="13"/>
      <c r="E1485" s="7" t="str">
        <f aca="false">IF(D1485="","",IFERROR(INDEX(Materiali!$B:$B,MATCH(D1485,Materiali!$A:$A,0)),"codice?"))</f>
        <v/>
      </c>
      <c r="F1485" s="13"/>
      <c r="G1485" s="13"/>
      <c r="H1485" s="9" t="str">
        <f aca="false">IF(D1485="","",IFERROR(INDEX(Materiali!$C:$C,MATCH(D1485,Materiali!$A:$A,0)),0))</f>
        <v/>
      </c>
      <c r="I1485" s="9" t="str">
        <f aca="false">IF(OR(G1485="",H1485=""),"",IF(F1485="Uscita",-1,1)*G1485*H1485)</f>
        <v/>
      </c>
      <c r="J1485" s="13"/>
      <c r="K1485" s="13"/>
    </row>
    <row r="1486" customFormat="false" ht="15" hidden="false" customHeight="false" outlineLevel="0" collapsed="false">
      <c r="A1486" s="12"/>
      <c r="B1486" s="13"/>
      <c r="C1486" s="13"/>
      <c r="D1486" s="13"/>
      <c r="E1486" s="7" t="str">
        <f aca="false">IF(D1486="","",IFERROR(INDEX(Materiali!$B:$B,MATCH(D1486,Materiali!$A:$A,0)),"codice?"))</f>
        <v/>
      </c>
      <c r="F1486" s="13"/>
      <c r="G1486" s="13"/>
      <c r="H1486" s="9" t="str">
        <f aca="false">IF(D1486="","",IFERROR(INDEX(Materiali!$C:$C,MATCH(D1486,Materiali!$A:$A,0)),0))</f>
        <v/>
      </c>
      <c r="I1486" s="9" t="str">
        <f aca="false">IF(OR(G1486="",H1486=""),"",IF(F1486="Uscita",-1,1)*G1486*H1486)</f>
        <v/>
      </c>
      <c r="J1486" s="13"/>
      <c r="K1486" s="13"/>
    </row>
    <row r="1487" customFormat="false" ht="15" hidden="false" customHeight="false" outlineLevel="0" collapsed="false">
      <c r="A1487" s="12"/>
      <c r="B1487" s="13"/>
      <c r="C1487" s="13"/>
      <c r="D1487" s="13"/>
      <c r="E1487" s="7" t="str">
        <f aca="false">IF(D1487="","",IFERROR(INDEX(Materiali!$B:$B,MATCH(D1487,Materiali!$A:$A,0)),"codice?"))</f>
        <v/>
      </c>
      <c r="F1487" s="13"/>
      <c r="G1487" s="13"/>
      <c r="H1487" s="9" t="str">
        <f aca="false">IF(D1487="","",IFERROR(INDEX(Materiali!$C:$C,MATCH(D1487,Materiali!$A:$A,0)),0))</f>
        <v/>
      </c>
      <c r="I1487" s="9" t="str">
        <f aca="false">IF(OR(G1487="",H1487=""),"",IF(F1487="Uscita",-1,1)*G1487*H1487)</f>
        <v/>
      </c>
      <c r="J1487" s="13"/>
      <c r="K1487" s="13"/>
    </row>
    <row r="1488" customFormat="false" ht="15" hidden="false" customHeight="false" outlineLevel="0" collapsed="false">
      <c r="A1488" s="12"/>
      <c r="B1488" s="13"/>
      <c r="C1488" s="13"/>
      <c r="D1488" s="13"/>
      <c r="E1488" s="7" t="str">
        <f aca="false">IF(D1488="","",IFERROR(INDEX(Materiali!$B:$B,MATCH(D1488,Materiali!$A:$A,0)),"codice?"))</f>
        <v/>
      </c>
      <c r="F1488" s="13"/>
      <c r="G1488" s="13"/>
      <c r="H1488" s="9" t="str">
        <f aca="false">IF(D1488="","",IFERROR(INDEX(Materiali!$C:$C,MATCH(D1488,Materiali!$A:$A,0)),0))</f>
        <v/>
      </c>
      <c r="I1488" s="9" t="str">
        <f aca="false">IF(OR(G1488="",H1488=""),"",IF(F1488="Uscita",-1,1)*G1488*H1488)</f>
        <v/>
      </c>
      <c r="J1488" s="13"/>
      <c r="K1488" s="13"/>
    </row>
    <row r="1489" customFormat="false" ht="15" hidden="false" customHeight="false" outlineLevel="0" collapsed="false">
      <c r="A1489" s="12"/>
      <c r="B1489" s="13"/>
      <c r="C1489" s="13"/>
      <c r="D1489" s="13"/>
      <c r="E1489" s="7" t="str">
        <f aca="false">IF(D1489="","",IFERROR(INDEX(Materiali!$B:$B,MATCH(D1489,Materiali!$A:$A,0)),"codice?"))</f>
        <v/>
      </c>
      <c r="F1489" s="13"/>
      <c r="G1489" s="13"/>
      <c r="H1489" s="9" t="str">
        <f aca="false">IF(D1489="","",IFERROR(INDEX(Materiali!$C:$C,MATCH(D1489,Materiali!$A:$A,0)),0))</f>
        <v/>
      </c>
      <c r="I1489" s="9" t="str">
        <f aca="false">IF(OR(G1489="",H1489=""),"",IF(F1489="Uscita",-1,1)*G1489*H1489)</f>
        <v/>
      </c>
      <c r="J1489" s="13"/>
      <c r="K1489" s="13"/>
    </row>
    <row r="1490" customFormat="false" ht="15" hidden="false" customHeight="false" outlineLevel="0" collapsed="false">
      <c r="A1490" s="12"/>
      <c r="B1490" s="13"/>
      <c r="C1490" s="13"/>
      <c r="D1490" s="13"/>
      <c r="E1490" s="7" t="str">
        <f aca="false">IF(D1490="","",IFERROR(INDEX(Materiali!$B:$B,MATCH(D1490,Materiali!$A:$A,0)),"codice?"))</f>
        <v/>
      </c>
      <c r="F1490" s="13"/>
      <c r="G1490" s="13"/>
      <c r="H1490" s="9" t="str">
        <f aca="false">IF(D1490="","",IFERROR(INDEX(Materiali!$C:$C,MATCH(D1490,Materiali!$A:$A,0)),0))</f>
        <v/>
      </c>
      <c r="I1490" s="9" t="str">
        <f aca="false">IF(OR(G1490="",H1490=""),"",IF(F1490="Uscita",-1,1)*G1490*H1490)</f>
        <v/>
      </c>
      <c r="J1490" s="13"/>
      <c r="K1490" s="13"/>
    </row>
    <row r="1491" customFormat="false" ht="15" hidden="false" customHeight="false" outlineLevel="0" collapsed="false">
      <c r="A1491" s="12"/>
      <c r="B1491" s="13"/>
      <c r="C1491" s="13"/>
      <c r="D1491" s="13"/>
      <c r="E1491" s="7" t="str">
        <f aca="false">IF(D1491="","",IFERROR(INDEX(Materiali!$B:$B,MATCH(D1491,Materiali!$A:$A,0)),"codice?"))</f>
        <v/>
      </c>
      <c r="F1491" s="13"/>
      <c r="G1491" s="13"/>
      <c r="H1491" s="9" t="str">
        <f aca="false">IF(D1491="","",IFERROR(INDEX(Materiali!$C:$C,MATCH(D1491,Materiali!$A:$A,0)),0))</f>
        <v/>
      </c>
      <c r="I1491" s="9" t="str">
        <f aca="false">IF(OR(G1491="",H1491=""),"",IF(F1491="Uscita",-1,1)*G1491*H1491)</f>
        <v/>
      </c>
      <c r="J1491" s="13"/>
      <c r="K1491" s="13"/>
    </row>
    <row r="1492" customFormat="false" ht="15" hidden="false" customHeight="false" outlineLevel="0" collapsed="false">
      <c r="A1492" s="12"/>
      <c r="B1492" s="13"/>
      <c r="C1492" s="13"/>
      <c r="D1492" s="13"/>
      <c r="E1492" s="7" t="str">
        <f aca="false">IF(D1492="","",IFERROR(INDEX(Materiali!$B:$B,MATCH(D1492,Materiali!$A:$A,0)),"codice?"))</f>
        <v/>
      </c>
      <c r="F1492" s="13"/>
      <c r="G1492" s="13"/>
      <c r="H1492" s="9" t="str">
        <f aca="false">IF(D1492="","",IFERROR(INDEX(Materiali!$C:$C,MATCH(D1492,Materiali!$A:$A,0)),0))</f>
        <v/>
      </c>
      <c r="I1492" s="9" t="str">
        <f aca="false">IF(OR(G1492="",H1492=""),"",IF(F1492="Uscita",-1,1)*G1492*H1492)</f>
        <v/>
      </c>
      <c r="J1492" s="13"/>
      <c r="K1492" s="13"/>
    </row>
    <row r="1493" customFormat="false" ht="15" hidden="false" customHeight="false" outlineLevel="0" collapsed="false">
      <c r="A1493" s="12"/>
      <c r="B1493" s="13"/>
      <c r="C1493" s="13"/>
      <c r="D1493" s="13"/>
      <c r="E1493" s="7" t="str">
        <f aca="false">IF(D1493="","",IFERROR(INDEX(Materiali!$B:$B,MATCH(D1493,Materiali!$A:$A,0)),"codice?"))</f>
        <v/>
      </c>
      <c r="F1493" s="13"/>
      <c r="G1493" s="13"/>
      <c r="H1493" s="9" t="str">
        <f aca="false">IF(D1493="","",IFERROR(INDEX(Materiali!$C:$C,MATCH(D1493,Materiali!$A:$A,0)),0))</f>
        <v/>
      </c>
      <c r="I1493" s="9" t="str">
        <f aca="false">IF(OR(G1493="",H1493=""),"",IF(F1493="Uscita",-1,1)*G1493*H1493)</f>
        <v/>
      </c>
      <c r="J1493" s="13"/>
      <c r="K1493" s="13"/>
    </row>
    <row r="1494" customFormat="false" ht="15" hidden="false" customHeight="false" outlineLevel="0" collapsed="false">
      <c r="A1494" s="12"/>
      <c r="B1494" s="13"/>
      <c r="C1494" s="13"/>
      <c r="D1494" s="13"/>
      <c r="E1494" s="7" t="str">
        <f aca="false">IF(D1494="","",IFERROR(INDEX(Materiali!$B:$B,MATCH(D1494,Materiali!$A:$A,0)),"codice?"))</f>
        <v/>
      </c>
      <c r="F1494" s="13"/>
      <c r="G1494" s="13"/>
      <c r="H1494" s="9" t="str">
        <f aca="false">IF(D1494="","",IFERROR(INDEX(Materiali!$C:$C,MATCH(D1494,Materiali!$A:$A,0)),0))</f>
        <v/>
      </c>
      <c r="I1494" s="9" t="str">
        <f aca="false">IF(OR(G1494="",H1494=""),"",IF(F1494="Uscita",-1,1)*G1494*H1494)</f>
        <v/>
      </c>
      <c r="J1494" s="13"/>
      <c r="K1494" s="13"/>
    </row>
    <row r="1495" customFormat="false" ht="15" hidden="false" customHeight="false" outlineLevel="0" collapsed="false">
      <c r="A1495" s="12"/>
      <c r="B1495" s="13"/>
      <c r="C1495" s="13"/>
      <c r="D1495" s="13"/>
      <c r="E1495" s="7" t="str">
        <f aca="false">IF(D1495="","",IFERROR(INDEX(Materiali!$B:$B,MATCH(D1495,Materiali!$A:$A,0)),"codice?"))</f>
        <v/>
      </c>
      <c r="F1495" s="13"/>
      <c r="G1495" s="13"/>
      <c r="H1495" s="9" t="str">
        <f aca="false">IF(D1495="","",IFERROR(INDEX(Materiali!$C:$C,MATCH(D1495,Materiali!$A:$A,0)),0))</f>
        <v/>
      </c>
      <c r="I1495" s="9" t="str">
        <f aca="false">IF(OR(G1495="",H1495=""),"",IF(F1495="Uscita",-1,1)*G1495*H1495)</f>
        <v/>
      </c>
      <c r="J1495" s="13"/>
      <c r="K1495" s="13"/>
    </row>
    <row r="1496" customFormat="false" ht="15" hidden="false" customHeight="false" outlineLevel="0" collapsed="false">
      <c r="A1496" s="12"/>
      <c r="B1496" s="13"/>
      <c r="C1496" s="13"/>
      <c r="D1496" s="13"/>
      <c r="E1496" s="7" t="str">
        <f aca="false">IF(D1496="","",IFERROR(INDEX(Materiali!$B:$B,MATCH(D1496,Materiali!$A:$A,0)),"codice?"))</f>
        <v/>
      </c>
      <c r="F1496" s="13"/>
      <c r="G1496" s="13"/>
      <c r="H1496" s="9" t="str">
        <f aca="false">IF(D1496="","",IFERROR(INDEX(Materiali!$C:$C,MATCH(D1496,Materiali!$A:$A,0)),0))</f>
        <v/>
      </c>
      <c r="I1496" s="9" t="str">
        <f aca="false">IF(OR(G1496="",H1496=""),"",IF(F1496="Uscita",-1,1)*G1496*H1496)</f>
        <v/>
      </c>
      <c r="J1496" s="13"/>
      <c r="K1496" s="13"/>
    </row>
    <row r="1497" customFormat="false" ht="15" hidden="false" customHeight="false" outlineLevel="0" collapsed="false">
      <c r="A1497" s="12"/>
      <c r="B1497" s="13"/>
      <c r="C1497" s="13"/>
      <c r="D1497" s="13"/>
      <c r="E1497" s="7" t="str">
        <f aca="false">IF(D1497="","",IFERROR(INDEX(Materiali!$B:$B,MATCH(D1497,Materiali!$A:$A,0)),"codice?"))</f>
        <v/>
      </c>
      <c r="F1497" s="13"/>
      <c r="G1497" s="13"/>
      <c r="H1497" s="9" t="str">
        <f aca="false">IF(D1497="","",IFERROR(INDEX(Materiali!$C:$C,MATCH(D1497,Materiali!$A:$A,0)),0))</f>
        <v/>
      </c>
      <c r="I1497" s="9" t="str">
        <f aca="false">IF(OR(G1497="",H1497=""),"",IF(F1497="Uscita",-1,1)*G1497*H1497)</f>
        <v/>
      </c>
      <c r="J1497" s="13"/>
      <c r="K1497" s="13"/>
    </row>
    <row r="1498" customFormat="false" ht="15" hidden="false" customHeight="false" outlineLevel="0" collapsed="false">
      <c r="A1498" s="12"/>
      <c r="B1498" s="13"/>
      <c r="C1498" s="13"/>
      <c r="D1498" s="13"/>
      <c r="E1498" s="7" t="str">
        <f aca="false">IF(D1498="","",IFERROR(INDEX(Materiali!$B:$B,MATCH(D1498,Materiali!$A:$A,0)),"codice?"))</f>
        <v/>
      </c>
      <c r="F1498" s="13"/>
      <c r="G1498" s="13"/>
      <c r="H1498" s="9" t="str">
        <f aca="false">IF(D1498="","",IFERROR(INDEX(Materiali!$C:$C,MATCH(D1498,Materiali!$A:$A,0)),0))</f>
        <v/>
      </c>
      <c r="I1498" s="9" t="str">
        <f aca="false">IF(OR(G1498="",H1498=""),"",IF(F1498="Uscita",-1,1)*G1498*H1498)</f>
        <v/>
      </c>
      <c r="J1498" s="13"/>
      <c r="K1498" s="13"/>
    </row>
    <row r="1499" customFormat="false" ht="15" hidden="false" customHeight="false" outlineLevel="0" collapsed="false">
      <c r="A1499" s="12"/>
      <c r="B1499" s="13"/>
      <c r="C1499" s="13"/>
      <c r="D1499" s="13"/>
      <c r="E1499" s="7" t="str">
        <f aca="false">IF(D1499="","",IFERROR(INDEX(Materiali!$B:$B,MATCH(D1499,Materiali!$A:$A,0)),"codice?"))</f>
        <v/>
      </c>
      <c r="F1499" s="13"/>
      <c r="G1499" s="13"/>
      <c r="H1499" s="9" t="str">
        <f aca="false">IF(D1499="","",IFERROR(INDEX(Materiali!$C:$C,MATCH(D1499,Materiali!$A:$A,0)),0))</f>
        <v/>
      </c>
      <c r="I1499" s="9" t="str">
        <f aca="false">IF(OR(G1499="",H1499=""),"",IF(F1499="Uscita",-1,1)*G1499*H1499)</f>
        <v/>
      </c>
      <c r="J1499" s="13"/>
      <c r="K1499" s="13"/>
    </row>
    <row r="1500" customFormat="false" ht="15" hidden="false" customHeight="false" outlineLevel="0" collapsed="false">
      <c r="A1500" s="12"/>
      <c r="B1500" s="13"/>
      <c r="C1500" s="13"/>
      <c r="D1500" s="13"/>
      <c r="E1500" s="7" t="str">
        <f aca="false">IF(D1500="","",IFERROR(INDEX(Materiali!$B:$B,MATCH(D1500,Materiali!$A:$A,0)),"codice?"))</f>
        <v/>
      </c>
      <c r="F1500" s="13"/>
      <c r="G1500" s="13"/>
      <c r="H1500" s="9" t="str">
        <f aca="false">IF(D1500="","",IFERROR(INDEX(Materiali!$C:$C,MATCH(D1500,Materiali!$A:$A,0)),0))</f>
        <v/>
      </c>
      <c r="I1500" s="9" t="str">
        <f aca="false">IF(OR(G1500="",H1500=""),"",IF(F1500="Uscita",-1,1)*G1500*H1500)</f>
        <v/>
      </c>
      <c r="J1500" s="13"/>
      <c r="K1500" s="13"/>
    </row>
    <row r="1501" customFormat="false" ht="15" hidden="false" customHeight="false" outlineLevel="0" collapsed="false">
      <c r="A1501" s="12"/>
      <c r="B1501" s="13"/>
      <c r="C1501" s="13"/>
      <c r="D1501" s="13"/>
      <c r="E1501" s="7" t="str">
        <f aca="false">IF(D1501="","",IFERROR(INDEX(Materiali!$B:$B,MATCH(D1501,Materiali!$A:$A,0)),"codice?"))</f>
        <v/>
      </c>
      <c r="F1501" s="13"/>
      <c r="G1501" s="13"/>
      <c r="H1501" s="9" t="str">
        <f aca="false">IF(D1501="","",IFERROR(INDEX(Materiali!$C:$C,MATCH(D1501,Materiali!$A:$A,0)),0))</f>
        <v/>
      </c>
      <c r="I1501" s="9" t="str">
        <f aca="false">IF(OR(G1501="",H1501=""),"",IF(F1501="Uscita",-1,1)*G1501*H1501)</f>
        <v/>
      </c>
      <c r="J1501" s="13"/>
      <c r="K1501" s="13"/>
    </row>
    <row r="1502" customFormat="false" ht="15" hidden="false" customHeight="false" outlineLevel="0" collapsed="false">
      <c r="A1502" s="12"/>
      <c r="B1502" s="13"/>
      <c r="C1502" s="13"/>
      <c r="D1502" s="13"/>
      <c r="E1502" s="7" t="str">
        <f aca="false">IF(D1502="","",IFERROR(INDEX(Materiali!$B:$B,MATCH(D1502,Materiali!$A:$A,0)),"codice?"))</f>
        <v/>
      </c>
      <c r="F1502" s="13"/>
      <c r="G1502" s="13"/>
      <c r="H1502" s="9" t="str">
        <f aca="false">IF(D1502="","",IFERROR(INDEX(Materiali!$C:$C,MATCH(D1502,Materiali!$A:$A,0)),0))</f>
        <v/>
      </c>
      <c r="I1502" s="9" t="str">
        <f aca="false">IF(OR(G1502="",H1502=""),"",IF(F1502="Uscita",-1,1)*G1502*H1502)</f>
        <v/>
      </c>
      <c r="J1502" s="13"/>
      <c r="K1502" s="13"/>
    </row>
    <row r="1503" customFormat="false" ht="15" hidden="false" customHeight="false" outlineLevel="0" collapsed="false">
      <c r="A1503" s="12"/>
      <c r="B1503" s="13"/>
      <c r="C1503" s="13"/>
      <c r="D1503" s="13"/>
      <c r="E1503" s="7" t="str">
        <f aca="false">IF(D1503="","",IFERROR(INDEX(Materiali!$B:$B,MATCH(D1503,Materiali!$A:$A,0)),"codice?"))</f>
        <v/>
      </c>
      <c r="F1503" s="13"/>
      <c r="G1503" s="13"/>
      <c r="H1503" s="9" t="str">
        <f aca="false">IF(D1503="","",IFERROR(INDEX(Materiali!$C:$C,MATCH(D1503,Materiali!$A:$A,0)),0))</f>
        <v/>
      </c>
      <c r="I1503" s="9" t="str">
        <f aca="false">IF(OR(G1503="",H1503=""),"",IF(F1503="Uscita",-1,1)*G1503*H1503)</f>
        <v/>
      </c>
      <c r="J1503" s="13"/>
      <c r="K1503" s="13"/>
    </row>
    <row r="1504" customFormat="false" ht="15" hidden="false" customHeight="false" outlineLevel="0" collapsed="false">
      <c r="A1504" s="12"/>
      <c r="B1504" s="13"/>
      <c r="C1504" s="13"/>
      <c r="D1504" s="13"/>
      <c r="E1504" s="7" t="str">
        <f aca="false">IF(D1504="","",IFERROR(INDEX(Materiali!$B:$B,MATCH(D1504,Materiali!$A:$A,0)),"codice?"))</f>
        <v/>
      </c>
      <c r="F1504" s="13"/>
      <c r="G1504" s="13"/>
      <c r="H1504" s="9" t="str">
        <f aca="false">IF(D1504="","",IFERROR(INDEX(Materiali!$C:$C,MATCH(D1504,Materiali!$A:$A,0)),0))</f>
        <v/>
      </c>
      <c r="I1504" s="9" t="str">
        <f aca="false">IF(OR(G1504="",H1504=""),"",IF(F1504="Uscita",-1,1)*G1504*H1504)</f>
        <v/>
      </c>
      <c r="J1504" s="13"/>
      <c r="K1504" s="13"/>
    </row>
    <row r="1505" customFormat="false" ht="15" hidden="false" customHeight="false" outlineLevel="0" collapsed="false">
      <c r="A1505" s="12"/>
      <c r="B1505" s="13"/>
      <c r="C1505" s="13"/>
      <c r="D1505" s="13"/>
      <c r="E1505" s="7" t="str">
        <f aca="false">IF(D1505="","",IFERROR(INDEX(Materiali!$B:$B,MATCH(D1505,Materiali!$A:$A,0)),"codice?"))</f>
        <v/>
      </c>
      <c r="F1505" s="13"/>
      <c r="G1505" s="13"/>
      <c r="H1505" s="9" t="str">
        <f aca="false">IF(D1505="","",IFERROR(INDEX(Materiali!$C:$C,MATCH(D1505,Materiali!$A:$A,0)),0))</f>
        <v/>
      </c>
      <c r="I1505" s="9" t="str">
        <f aca="false">IF(OR(G1505="",H1505=""),"",IF(F1505="Uscita",-1,1)*G1505*H1505)</f>
        <v/>
      </c>
      <c r="J1505" s="13"/>
      <c r="K1505" s="13"/>
    </row>
    <row r="1506" customFormat="false" ht="15" hidden="false" customHeight="false" outlineLevel="0" collapsed="false">
      <c r="A1506" s="12"/>
      <c r="B1506" s="13"/>
      <c r="C1506" s="13"/>
      <c r="D1506" s="13"/>
      <c r="E1506" s="7" t="str">
        <f aca="false">IF(D1506="","",IFERROR(INDEX(Materiali!$B:$B,MATCH(D1506,Materiali!$A:$A,0)),"codice?"))</f>
        <v/>
      </c>
      <c r="F1506" s="13"/>
      <c r="G1506" s="13"/>
      <c r="H1506" s="9" t="str">
        <f aca="false">IF(D1506="","",IFERROR(INDEX(Materiali!$C:$C,MATCH(D1506,Materiali!$A:$A,0)),0))</f>
        <v/>
      </c>
      <c r="I1506" s="9" t="str">
        <f aca="false">IF(OR(G1506="",H1506=""),"",IF(F1506="Uscita",-1,1)*G1506*H1506)</f>
        <v/>
      </c>
      <c r="J1506" s="13"/>
      <c r="K1506" s="13"/>
    </row>
    <row r="1507" customFormat="false" ht="15" hidden="false" customHeight="false" outlineLevel="0" collapsed="false">
      <c r="A1507" s="12"/>
      <c r="B1507" s="13"/>
      <c r="C1507" s="13"/>
      <c r="D1507" s="13"/>
      <c r="E1507" s="7" t="str">
        <f aca="false">IF(D1507="","",IFERROR(INDEX(Materiali!$B:$B,MATCH(D1507,Materiali!$A:$A,0)),"codice?"))</f>
        <v/>
      </c>
      <c r="F1507" s="13"/>
      <c r="G1507" s="13"/>
      <c r="H1507" s="9" t="str">
        <f aca="false">IF(D1507="","",IFERROR(INDEX(Materiali!$C:$C,MATCH(D1507,Materiali!$A:$A,0)),0))</f>
        <v/>
      </c>
      <c r="I1507" s="9" t="str">
        <f aca="false">IF(OR(G1507="",H1507=""),"",IF(F1507="Uscita",-1,1)*G1507*H1507)</f>
        <v/>
      </c>
      <c r="J1507" s="13"/>
      <c r="K1507" s="13"/>
    </row>
    <row r="1508" customFormat="false" ht="15" hidden="false" customHeight="false" outlineLevel="0" collapsed="false">
      <c r="A1508" s="12"/>
      <c r="B1508" s="13"/>
      <c r="C1508" s="13"/>
      <c r="D1508" s="13"/>
      <c r="E1508" s="7" t="str">
        <f aca="false">IF(D1508="","",IFERROR(INDEX(Materiali!$B:$B,MATCH(D1508,Materiali!$A:$A,0)),"codice?"))</f>
        <v/>
      </c>
      <c r="F1508" s="13"/>
      <c r="G1508" s="13"/>
      <c r="H1508" s="9" t="str">
        <f aca="false">IF(D1508="","",IFERROR(INDEX(Materiali!$C:$C,MATCH(D1508,Materiali!$A:$A,0)),0))</f>
        <v/>
      </c>
      <c r="I1508" s="9" t="str">
        <f aca="false">IF(OR(G1508="",H1508=""),"",IF(F1508="Uscita",-1,1)*G1508*H1508)</f>
        <v/>
      </c>
      <c r="J1508" s="13"/>
      <c r="K1508" s="13"/>
    </row>
    <row r="1509" customFormat="false" ht="15" hidden="false" customHeight="false" outlineLevel="0" collapsed="false">
      <c r="A1509" s="12"/>
      <c r="B1509" s="13"/>
      <c r="C1509" s="13"/>
      <c r="D1509" s="13"/>
      <c r="E1509" s="7" t="str">
        <f aca="false">IF(D1509="","",IFERROR(INDEX(Materiali!$B:$B,MATCH(D1509,Materiali!$A:$A,0)),"codice?"))</f>
        <v/>
      </c>
      <c r="F1509" s="13"/>
      <c r="G1509" s="13"/>
      <c r="H1509" s="9" t="str">
        <f aca="false">IF(D1509="","",IFERROR(INDEX(Materiali!$C:$C,MATCH(D1509,Materiali!$A:$A,0)),0))</f>
        <v/>
      </c>
      <c r="I1509" s="9" t="str">
        <f aca="false">IF(OR(G1509="",H1509=""),"",IF(F1509="Uscita",-1,1)*G1509*H1509)</f>
        <v/>
      </c>
      <c r="J1509" s="13"/>
      <c r="K1509" s="13"/>
    </row>
    <row r="1510" customFormat="false" ht="15" hidden="false" customHeight="false" outlineLevel="0" collapsed="false">
      <c r="A1510" s="12"/>
      <c r="B1510" s="13"/>
      <c r="C1510" s="13"/>
      <c r="D1510" s="13"/>
      <c r="E1510" s="7" t="str">
        <f aca="false">IF(D1510="","",IFERROR(INDEX(Materiali!$B:$B,MATCH(D1510,Materiali!$A:$A,0)),"codice?"))</f>
        <v/>
      </c>
      <c r="F1510" s="13"/>
      <c r="G1510" s="13"/>
      <c r="H1510" s="9" t="str">
        <f aca="false">IF(D1510="","",IFERROR(INDEX(Materiali!$C:$C,MATCH(D1510,Materiali!$A:$A,0)),0))</f>
        <v/>
      </c>
      <c r="I1510" s="9" t="str">
        <f aca="false">IF(OR(G1510="",H1510=""),"",IF(F1510="Uscita",-1,1)*G1510*H1510)</f>
        <v/>
      </c>
      <c r="J1510" s="13"/>
      <c r="K1510" s="13"/>
    </row>
    <row r="1511" customFormat="false" ht="15" hidden="false" customHeight="false" outlineLevel="0" collapsed="false">
      <c r="A1511" s="12"/>
      <c r="B1511" s="13"/>
      <c r="C1511" s="13"/>
      <c r="D1511" s="13"/>
      <c r="E1511" s="7" t="str">
        <f aca="false">IF(D1511="","",IFERROR(INDEX(Materiali!$B:$B,MATCH(D1511,Materiali!$A:$A,0)),"codice?"))</f>
        <v/>
      </c>
      <c r="F1511" s="13"/>
      <c r="G1511" s="13"/>
      <c r="H1511" s="9" t="str">
        <f aca="false">IF(D1511="","",IFERROR(INDEX(Materiali!$C:$C,MATCH(D1511,Materiali!$A:$A,0)),0))</f>
        <v/>
      </c>
      <c r="I1511" s="9" t="str">
        <f aca="false">IF(OR(G1511="",H1511=""),"",IF(F1511="Uscita",-1,1)*G1511*H1511)</f>
        <v/>
      </c>
      <c r="J1511" s="13"/>
      <c r="K1511" s="13"/>
    </row>
    <row r="1512" customFormat="false" ht="15" hidden="false" customHeight="false" outlineLevel="0" collapsed="false">
      <c r="A1512" s="12"/>
      <c r="B1512" s="13"/>
      <c r="C1512" s="13"/>
      <c r="D1512" s="13"/>
      <c r="E1512" s="7" t="str">
        <f aca="false">IF(D1512="","",IFERROR(INDEX(Materiali!$B:$B,MATCH(D1512,Materiali!$A:$A,0)),"codice?"))</f>
        <v/>
      </c>
      <c r="F1512" s="13"/>
      <c r="G1512" s="13"/>
      <c r="H1512" s="9" t="str">
        <f aca="false">IF(D1512="","",IFERROR(INDEX(Materiali!$C:$C,MATCH(D1512,Materiali!$A:$A,0)),0))</f>
        <v/>
      </c>
      <c r="I1512" s="9" t="str">
        <f aca="false">IF(OR(G1512="",H1512=""),"",IF(F1512="Uscita",-1,1)*G1512*H1512)</f>
        <v/>
      </c>
      <c r="J1512" s="13"/>
      <c r="K1512" s="13"/>
    </row>
    <row r="1513" customFormat="false" ht="15" hidden="false" customHeight="false" outlineLevel="0" collapsed="false">
      <c r="A1513" s="12"/>
      <c r="B1513" s="13"/>
      <c r="C1513" s="13"/>
      <c r="D1513" s="13"/>
      <c r="E1513" s="7" t="str">
        <f aca="false">IF(D1513="","",IFERROR(INDEX(Materiali!$B:$B,MATCH(D1513,Materiali!$A:$A,0)),"codice?"))</f>
        <v/>
      </c>
      <c r="F1513" s="13"/>
      <c r="G1513" s="13"/>
      <c r="H1513" s="9" t="str">
        <f aca="false">IF(D1513="","",IFERROR(INDEX(Materiali!$C:$C,MATCH(D1513,Materiali!$A:$A,0)),0))</f>
        <v/>
      </c>
      <c r="I1513" s="9" t="str">
        <f aca="false">IF(OR(G1513="",H1513=""),"",IF(F1513="Uscita",-1,1)*G1513*H1513)</f>
        <v/>
      </c>
      <c r="J1513" s="13"/>
      <c r="K1513" s="13"/>
    </row>
    <row r="1514" customFormat="false" ht="15" hidden="false" customHeight="false" outlineLevel="0" collapsed="false">
      <c r="A1514" s="12"/>
      <c r="B1514" s="13"/>
      <c r="C1514" s="13"/>
      <c r="D1514" s="13"/>
      <c r="E1514" s="7" t="str">
        <f aca="false">IF(D1514="","",IFERROR(INDEX(Materiali!$B:$B,MATCH(D1514,Materiali!$A:$A,0)),"codice?"))</f>
        <v/>
      </c>
      <c r="F1514" s="13"/>
      <c r="G1514" s="13"/>
      <c r="H1514" s="9" t="str">
        <f aca="false">IF(D1514="","",IFERROR(INDEX(Materiali!$C:$C,MATCH(D1514,Materiali!$A:$A,0)),0))</f>
        <v/>
      </c>
      <c r="I1514" s="9" t="str">
        <f aca="false">IF(OR(G1514="",H1514=""),"",IF(F1514="Uscita",-1,1)*G1514*H1514)</f>
        <v/>
      </c>
      <c r="J1514" s="13"/>
      <c r="K1514" s="13"/>
    </row>
    <row r="1515" customFormat="false" ht="15" hidden="false" customHeight="false" outlineLevel="0" collapsed="false">
      <c r="A1515" s="12"/>
      <c r="B1515" s="13"/>
      <c r="C1515" s="13"/>
      <c r="D1515" s="13"/>
      <c r="E1515" s="7" t="str">
        <f aca="false">IF(D1515="","",IFERROR(INDEX(Materiali!$B:$B,MATCH(D1515,Materiali!$A:$A,0)),"codice?"))</f>
        <v/>
      </c>
      <c r="F1515" s="13"/>
      <c r="G1515" s="13"/>
      <c r="H1515" s="9" t="str">
        <f aca="false">IF(D1515="","",IFERROR(INDEX(Materiali!$C:$C,MATCH(D1515,Materiali!$A:$A,0)),0))</f>
        <v/>
      </c>
      <c r="I1515" s="9" t="str">
        <f aca="false">IF(OR(G1515="",H1515=""),"",IF(F1515="Uscita",-1,1)*G1515*H1515)</f>
        <v/>
      </c>
      <c r="J1515" s="13"/>
      <c r="K1515" s="13"/>
    </row>
    <row r="1516" customFormat="false" ht="15" hidden="false" customHeight="false" outlineLevel="0" collapsed="false">
      <c r="A1516" s="12"/>
      <c r="B1516" s="13"/>
      <c r="C1516" s="13"/>
      <c r="D1516" s="13"/>
      <c r="E1516" s="7" t="str">
        <f aca="false">IF(D1516="","",IFERROR(INDEX(Materiali!$B:$B,MATCH(D1516,Materiali!$A:$A,0)),"codice?"))</f>
        <v/>
      </c>
      <c r="F1516" s="13"/>
      <c r="G1516" s="13"/>
      <c r="H1516" s="9" t="str">
        <f aca="false">IF(D1516="","",IFERROR(INDEX(Materiali!$C:$C,MATCH(D1516,Materiali!$A:$A,0)),0))</f>
        <v/>
      </c>
      <c r="I1516" s="9" t="str">
        <f aca="false">IF(OR(G1516="",H1516=""),"",IF(F1516="Uscita",-1,1)*G1516*H1516)</f>
        <v/>
      </c>
      <c r="J1516" s="13"/>
      <c r="K1516" s="13"/>
    </row>
    <row r="1517" customFormat="false" ht="15" hidden="false" customHeight="false" outlineLevel="0" collapsed="false">
      <c r="A1517" s="12"/>
      <c r="B1517" s="13"/>
      <c r="C1517" s="13"/>
      <c r="D1517" s="13"/>
      <c r="E1517" s="7" t="str">
        <f aca="false">IF(D1517="","",IFERROR(INDEX(Materiali!$B:$B,MATCH(D1517,Materiali!$A:$A,0)),"codice?"))</f>
        <v/>
      </c>
      <c r="F1517" s="13"/>
      <c r="G1517" s="13"/>
      <c r="H1517" s="9" t="str">
        <f aca="false">IF(D1517="","",IFERROR(INDEX(Materiali!$C:$C,MATCH(D1517,Materiali!$A:$A,0)),0))</f>
        <v/>
      </c>
      <c r="I1517" s="9" t="str">
        <f aca="false">IF(OR(G1517="",H1517=""),"",IF(F1517="Uscita",-1,1)*G1517*H1517)</f>
        <v/>
      </c>
      <c r="J1517" s="13"/>
      <c r="K1517" s="13"/>
    </row>
    <row r="1518" customFormat="false" ht="15" hidden="false" customHeight="false" outlineLevel="0" collapsed="false">
      <c r="A1518" s="12"/>
      <c r="B1518" s="13"/>
      <c r="C1518" s="13"/>
      <c r="D1518" s="13"/>
      <c r="E1518" s="7" t="str">
        <f aca="false">IF(D1518="","",IFERROR(INDEX(Materiali!$B:$B,MATCH(D1518,Materiali!$A:$A,0)),"codice?"))</f>
        <v/>
      </c>
      <c r="F1518" s="13"/>
      <c r="G1518" s="13"/>
      <c r="H1518" s="9" t="str">
        <f aca="false">IF(D1518="","",IFERROR(INDEX(Materiali!$C:$C,MATCH(D1518,Materiali!$A:$A,0)),0))</f>
        <v/>
      </c>
      <c r="I1518" s="9" t="str">
        <f aca="false">IF(OR(G1518="",H1518=""),"",IF(F1518="Uscita",-1,1)*G1518*H1518)</f>
        <v/>
      </c>
      <c r="J1518" s="13"/>
      <c r="K1518" s="13"/>
    </row>
    <row r="1519" customFormat="false" ht="15" hidden="false" customHeight="false" outlineLevel="0" collapsed="false">
      <c r="A1519" s="12"/>
      <c r="B1519" s="13"/>
      <c r="C1519" s="13"/>
      <c r="D1519" s="13"/>
      <c r="E1519" s="7" t="str">
        <f aca="false">IF(D1519="","",IFERROR(INDEX(Materiali!$B:$B,MATCH(D1519,Materiali!$A:$A,0)),"codice?"))</f>
        <v/>
      </c>
      <c r="F1519" s="13"/>
      <c r="G1519" s="13"/>
      <c r="H1519" s="9" t="str">
        <f aca="false">IF(D1519="","",IFERROR(INDEX(Materiali!$C:$C,MATCH(D1519,Materiali!$A:$A,0)),0))</f>
        <v/>
      </c>
      <c r="I1519" s="9" t="str">
        <f aca="false">IF(OR(G1519="",H1519=""),"",IF(F1519="Uscita",-1,1)*G1519*H1519)</f>
        <v/>
      </c>
      <c r="J1519" s="13"/>
      <c r="K1519" s="13"/>
    </row>
    <row r="1520" customFormat="false" ht="15" hidden="false" customHeight="false" outlineLevel="0" collapsed="false">
      <c r="A1520" s="12"/>
      <c r="B1520" s="13"/>
      <c r="C1520" s="13"/>
      <c r="D1520" s="13"/>
      <c r="E1520" s="7" t="str">
        <f aca="false">IF(D1520="","",IFERROR(INDEX(Materiali!$B:$B,MATCH(D1520,Materiali!$A:$A,0)),"codice?"))</f>
        <v/>
      </c>
      <c r="F1520" s="13"/>
      <c r="G1520" s="13"/>
      <c r="H1520" s="9" t="str">
        <f aca="false">IF(D1520="","",IFERROR(INDEX(Materiali!$C:$C,MATCH(D1520,Materiali!$A:$A,0)),0))</f>
        <v/>
      </c>
      <c r="I1520" s="9" t="str">
        <f aca="false">IF(OR(G1520="",H1520=""),"",IF(F1520="Uscita",-1,1)*G1520*H1520)</f>
        <v/>
      </c>
      <c r="J1520" s="13"/>
      <c r="K1520" s="13"/>
    </row>
    <row r="1521" customFormat="false" ht="15" hidden="false" customHeight="false" outlineLevel="0" collapsed="false">
      <c r="A1521" s="12"/>
      <c r="B1521" s="13"/>
      <c r="C1521" s="13"/>
      <c r="D1521" s="13"/>
      <c r="E1521" s="7" t="str">
        <f aca="false">IF(D1521="","",IFERROR(INDEX(Materiali!$B:$B,MATCH(D1521,Materiali!$A:$A,0)),"codice?"))</f>
        <v/>
      </c>
      <c r="F1521" s="13"/>
      <c r="G1521" s="13"/>
      <c r="H1521" s="9" t="str">
        <f aca="false">IF(D1521="","",IFERROR(INDEX(Materiali!$C:$C,MATCH(D1521,Materiali!$A:$A,0)),0))</f>
        <v/>
      </c>
      <c r="I1521" s="9" t="str">
        <f aca="false">IF(OR(G1521="",H1521=""),"",IF(F1521="Uscita",-1,1)*G1521*H1521)</f>
        <v/>
      </c>
      <c r="J1521" s="13"/>
      <c r="K1521" s="13"/>
    </row>
    <row r="1522" customFormat="false" ht="15" hidden="false" customHeight="false" outlineLevel="0" collapsed="false">
      <c r="A1522" s="12"/>
      <c r="B1522" s="13"/>
      <c r="C1522" s="13"/>
      <c r="D1522" s="13"/>
      <c r="E1522" s="7" t="str">
        <f aca="false">IF(D1522="","",IFERROR(INDEX(Materiali!$B:$B,MATCH(D1522,Materiali!$A:$A,0)),"codice?"))</f>
        <v/>
      </c>
      <c r="F1522" s="13"/>
      <c r="G1522" s="13"/>
      <c r="H1522" s="9" t="str">
        <f aca="false">IF(D1522="","",IFERROR(INDEX(Materiali!$C:$C,MATCH(D1522,Materiali!$A:$A,0)),0))</f>
        <v/>
      </c>
      <c r="I1522" s="9" t="str">
        <f aca="false">IF(OR(G1522="",H1522=""),"",IF(F1522="Uscita",-1,1)*G1522*H1522)</f>
        <v/>
      </c>
      <c r="J1522" s="13"/>
      <c r="K1522" s="13"/>
    </row>
    <row r="1523" customFormat="false" ht="15" hidden="false" customHeight="false" outlineLevel="0" collapsed="false">
      <c r="A1523" s="12"/>
      <c r="B1523" s="13"/>
      <c r="C1523" s="13"/>
      <c r="D1523" s="13"/>
      <c r="E1523" s="7" t="str">
        <f aca="false">IF(D1523="","",IFERROR(INDEX(Materiali!$B:$B,MATCH(D1523,Materiali!$A:$A,0)),"codice?"))</f>
        <v/>
      </c>
      <c r="F1523" s="13"/>
      <c r="G1523" s="13"/>
      <c r="H1523" s="9" t="str">
        <f aca="false">IF(D1523="","",IFERROR(INDEX(Materiali!$C:$C,MATCH(D1523,Materiali!$A:$A,0)),0))</f>
        <v/>
      </c>
      <c r="I1523" s="9" t="str">
        <f aca="false">IF(OR(G1523="",H1523=""),"",IF(F1523="Uscita",-1,1)*G1523*H1523)</f>
        <v/>
      </c>
      <c r="J1523" s="13"/>
      <c r="K1523" s="13"/>
    </row>
    <row r="1524" customFormat="false" ht="15" hidden="false" customHeight="false" outlineLevel="0" collapsed="false">
      <c r="A1524" s="12"/>
      <c r="B1524" s="13"/>
      <c r="C1524" s="13"/>
      <c r="D1524" s="13"/>
      <c r="E1524" s="7" t="str">
        <f aca="false">IF(D1524="","",IFERROR(INDEX(Materiali!$B:$B,MATCH(D1524,Materiali!$A:$A,0)),"codice?"))</f>
        <v/>
      </c>
      <c r="F1524" s="13"/>
      <c r="G1524" s="13"/>
      <c r="H1524" s="9" t="str">
        <f aca="false">IF(D1524="","",IFERROR(INDEX(Materiali!$C:$C,MATCH(D1524,Materiali!$A:$A,0)),0))</f>
        <v/>
      </c>
      <c r="I1524" s="9" t="str">
        <f aca="false">IF(OR(G1524="",H1524=""),"",IF(F1524="Uscita",-1,1)*G1524*H1524)</f>
        <v/>
      </c>
      <c r="J1524" s="13"/>
      <c r="K1524" s="13"/>
    </row>
    <row r="1525" customFormat="false" ht="15" hidden="false" customHeight="false" outlineLevel="0" collapsed="false">
      <c r="A1525" s="12"/>
      <c r="B1525" s="13"/>
      <c r="C1525" s="13"/>
      <c r="D1525" s="13"/>
      <c r="E1525" s="7" t="str">
        <f aca="false">IF(D1525="","",IFERROR(INDEX(Materiali!$B:$B,MATCH(D1525,Materiali!$A:$A,0)),"codice?"))</f>
        <v/>
      </c>
      <c r="F1525" s="13"/>
      <c r="G1525" s="13"/>
      <c r="H1525" s="9" t="str">
        <f aca="false">IF(D1525="","",IFERROR(INDEX(Materiali!$C:$C,MATCH(D1525,Materiali!$A:$A,0)),0))</f>
        <v/>
      </c>
      <c r="I1525" s="9" t="str">
        <f aca="false">IF(OR(G1525="",H1525=""),"",IF(F1525="Uscita",-1,1)*G1525*H1525)</f>
        <v/>
      </c>
      <c r="J1525" s="13"/>
      <c r="K1525" s="13"/>
    </row>
    <row r="1526" customFormat="false" ht="15" hidden="false" customHeight="false" outlineLevel="0" collapsed="false">
      <c r="A1526" s="12"/>
      <c r="B1526" s="13"/>
      <c r="C1526" s="13"/>
      <c r="D1526" s="13"/>
      <c r="E1526" s="7" t="str">
        <f aca="false">IF(D1526="","",IFERROR(INDEX(Materiali!$B:$B,MATCH(D1526,Materiali!$A:$A,0)),"codice?"))</f>
        <v/>
      </c>
      <c r="F1526" s="13"/>
      <c r="G1526" s="13"/>
      <c r="H1526" s="9" t="str">
        <f aca="false">IF(D1526="","",IFERROR(INDEX(Materiali!$C:$C,MATCH(D1526,Materiali!$A:$A,0)),0))</f>
        <v/>
      </c>
      <c r="I1526" s="9" t="str">
        <f aca="false">IF(OR(G1526="",H1526=""),"",IF(F1526="Uscita",-1,1)*G1526*H1526)</f>
        <v/>
      </c>
      <c r="J1526" s="13"/>
      <c r="K1526" s="13"/>
    </row>
    <row r="1527" customFormat="false" ht="15" hidden="false" customHeight="false" outlineLevel="0" collapsed="false">
      <c r="A1527" s="12"/>
      <c r="B1527" s="13"/>
      <c r="C1527" s="13"/>
      <c r="D1527" s="13"/>
      <c r="E1527" s="7" t="str">
        <f aca="false">IF(D1527="","",IFERROR(INDEX(Materiali!$B:$B,MATCH(D1527,Materiali!$A:$A,0)),"codice?"))</f>
        <v/>
      </c>
      <c r="F1527" s="13"/>
      <c r="G1527" s="13"/>
      <c r="H1527" s="9" t="str">
        <f aca="false">IF(D1527="","",IFERROR(INDEX(Materiali!$C:$C,MATCH(D1527,Materiali!$A:$A,0)),0))</f>
        <v/>
      </c>
      <c r="I1527" s="9" t="str">
        <f aca="false">IF(OR(G1527="",H1527=""),"",IF(F1527="Uscita",-1,1)*G1527*H1527)</f>
        <v/>
      </c>
      <c r="J1527" s="13"/>
      <c r="K1527" s="13"/>
    </row>
    <row r="1528" customFormat="false" ht="15" hidden="false" customHeight="false" outlineLevel="0" collapsed="false">
      <c r="A1528" s="12"/>
      <c r="B1528" s="13"/>
      <c r="C1528" s="13"/>
      <c r="D1528" s="13"/>
      <c r="E1528" s="7" t="str">
        <f aca="false">IF(D1528="","",IFERROR(INDEX(Materiali!$B:$B,MATCH(D1528,Materiali!$A:$A,0)),"codice?"))</f>
        <v/>
      </c>
      <c r="F1528" s="13"/>
      <c r="G1528" s="13"/>
      <c r="H1528" s="9" t="str">
        <f aca="false">IF(D1528="","",IFERROR(INDEX(Materiali!$C:$C,MATCH(D1528,Materiali!$A:$A,0)),0))</f>
        <v/>
      </c>
      <c r="I1528" s="9" t="str">
        <f aca="false">IF(OR(G1528="",H1528=""),"",IF(F1528="Uscita",-1,1)*G1528*H1528)</f>
        <v/>
      </c>
      <c r="J1528" s="13"/>
      <c r="K1528" s="13"/>
    </row>
    <row r="1529" customFormat="false" ht="15" hidden="false" customHeight="false" outlineLevel="0" collapsed="false">
      <c r="A1529" s="12"/>
      <c r="B1529" s="13"/>
      <c r="C1529" s="13"/>
      <c r="D1529" s="13"/>
      <c r="E1529" s="7" t="str">
        <f aca="false">IF(D1529="","",IFERROR(INDEX(Materiali!$B:$B,MATCH(D1529,Materiali!$A:$A,0)),"codice?"))</f>
        <v/>
      </c>
      <c r="F1529" s="13"/>
      <c r="G1529" s="13"/>
      <c r="H1529" s="9" t="str">
        <f aca="false">IF(D1529="","",IFERROR(INDEX(Materiali!$C:$C,MATCH(D1529,Materiali!$A:$A,0)),0))</f>
        <v/>
      </c>
      <c r="I1529" s="9" t="str">
        <f aca="false">IF(OR(G1529="",H1529=""),"",IF(F1529="Uscita",-1,1)*G1529*H1529)</f>
        <v/>
      </c>
      <c r="J1529" s="13"/>
      <c r="K1529" s="13"/>
    </row>
    <row r="1530" customFormat="false" ht="15" hidden="false" customHeight="false" outlineLevel="0" collapsed="false">
      <c r="A1530" s="12"/>
      <c r="B1530" s="13"/>
      <c r="C1530" s="13"/>
      <c r="D1530" s="13"/>
      <c r="E1530" s="7" t="str">
        <f aca="false">IF(D1530="","",IFERROR(INDEX(Materiali!$B:$B,MATCH(D1530,Materiali!$A:$A,0)),"codice?"))</f>
        <v/>
      </c>
      <c r="F1530" s="13"/>
      <c r="G1530" s="13"/>
      <c r="H1530" s="9" t="str">
        <f aca="false">IF(D1530="","",IFERROR(INDEX(Materiali!$C:$C,MATCH(D1530,Materiali!$A:$A,0)),0))</f>
        <v/>
      </c>
      <c r="I1530" s="9" t="str">
        <f aca="false">IF(OR(G1530="",H1530=""),"",IF(F1530="Uscita",-1,1)*G1530*H1530)</f>
        <v/>
      </c>
      <c r="J1530" s="13"/>
      <c r="K1530" s="13"/>
    </row>
    <row r="1531" customFormat="false" ht="15" hidden="false" customHeight="false" outlineLevel="0" collapsed="false">
      <c r="A1531" s="12"/>
      <c r="B1531" s="13"/>
      <c r="C1531" s="13"/>
      <c r="D1531" s="13"/>
      <c r="E1531" s="7" t="str">
        <f aca="false">IF(D1531="","",IFERROR(INDEX(Materiali!$B:$B,MATCH(D1531,Materiali!$A:$A,0)),"codice?"))</f>
        <v/>
      </c>
      <c r="F1531" s="13"/>
      <c r="G1531" s="13"/>
      <c r="H1531" s="9" t="str">
        <f aca="false">IF(D1531="","",IFERROR(INDEX(Materiali!$C:$C,MATCH(D1531,Materiali!$A:$A,0)),0))</f>
        <v/>
      </c>
      <c r="I1531" s="9" t="str">
        <f aca="false">IF(OR(G1531="",H1531=""),"",IF(F1531="Uscita",-1,1)*G1531*H1531)</f>
        <v/>
      </c>
      <c r="J1531" s="13"/>
      <c r="K1531" s="13"/>
    </row>
    <row r="1532" customFormat="false" ht="15" hidden="false" customHeight="false" outlineLevel="0" collapsed="false">
      <c r="A1532" s="12"/>
      <c r="B1532" s="13"/>
      <c r="C1532" s="13"/>
      <c r="D1532" s="13"/>
      <c r="E1532" s="7" t="str">
        <f aca="false">IF(D1532="","",IFERROR(INDEX(Materiali!$B:$B,MATCH(D1532,Materiali!$A:$A,0)),"codice?"))</f>
        <v/>
      </c>
      <c r="F1532" s="13"/>
      <c r="G1532" s="13"/>
      <c r="H1532" s="9" t="str">
        <f aca="false">IF(D1532="","",IFERROR(INDEX(Materiali!$C:$C,MATCH(D1532,Materiali!$A:$A,0)),0))</f>
        <v/>
      </c>
      <c r="I1532" s="9" t="str">
        <f aca="false">IF(OR(G1532="",H1532=""),"",IF(F1532="Uscita",-1,1)*G1532*H1532)</f>
        <v/>
      </c>
      <c r="J1532" s="13"/>
      <c r="K1532" s="13"/>
    </row>
    <row r="1533" customFormat="false" ht="15" hidden="false" customHeight="false" outlineLevel="0" collapsed="false">
      <c r="A1533" s="12"/>
      <c r="B1533" s="13"/>
      <c r="C1533" s="13"/>
      <c r="D1533" s="13"/>
      <c r="E1533" s="7" t="str">
        <f aca="false">IF(D1533="","",IFERROR(INDEX(Materiali!$B:$B,MATCH(D1533,Materiali!$A:$A,0)),"codice?"))</f>
        <v/>
      </c>
      <c r="F1533" s="13"/>
      <c r="G1533" s="13"/>
      <c r="H1533" s="9" t="str">
        <f aca="false">IF(D1533="","",IFERROR(INDEX(Materiali!$C:$C,MATCH(D1533,Materiali!$A:$A,0)),0))</f>
        <v/>
      </c>
      <c r="I1533" s="9" t="str">
        <f aca="false">IF(OR(G1533="",H1533=""),"",IF(F1533="Uscita",-1,1)*G1533*H1533)</f>
        <v/>
      </c>
      <c r="J1533" s="13"/>
      <c r="K1533" s="13"/>
    </row>
    <row r="1534" customFormat="false" ht="15" hidden="false" customHeight="false" outlineLevel="0" collapsed="false">
      <c r="A1534" s="12"/>
      <c r="B1534" s="13"/>
      <c r="C1534" s="13"/>
      <c r="D1534" s="13"/>
      <c r="E1534" s="7" t="str">
        <f aca="false">IF(D1534="","",IFERROR(INDEX(Materiali!$B:$B,MATCH(D1534,Materiali!$A:$A,0)),"codice?"))</f>
        <v/>
      </c>
      <c r="F1534" s="13"/>
      <c r="G1534" s="13"/>
      <c r="H1534" s="9" t="str">
        <f aca="false">IF(D1534="","",IFERROR(INDEX(Materiali!$C:$C,MATCH(D1534,Materiali!$A:$A,0)),0))</f>
        <v/>
      </c>
      <c r="I1534" s="9" t="str">
        <f aca="false">IF(OR(G1534="",H1534=""),"",IF(F1534="Uscita",-1,1)*G1534*H1534)</f>
        <v/>
      </c>
      <c r="J1534" s="13"/>
      <c r="K1534" s="13"/>
    </row>
    <row r="1535" customFormat="false" ht="15" hidden="false" customHeight="false" outlineLevel="0" collapsed="false">
      <c r="A1535" s="12"/>
      <c r="B1535" s="13"/>
      <c r="C1535" s="13"/>
      <c r="D1535" s="13"/>
      <c r="E1535" s="7" t="str">
        <f aca="false">IF(D1535="","",IFERROR(INDEX(Materiali!$B:$B,MATCH(D1535,Materiali!$A:$A,0)),"codice?"))</f>
        <v/>
      </c>
      <c r="F1535" s="13"/>
      <c r="G1535" s="13"/>
      <c r="H1535" s="9" t="str">
        <f aca="false">IF(D1535="","",IFERROR(INDEX(Materiali!$C:$C,MATCH(D1535,Materiali!$A:$A,0)),0))</f>
        <v/>
      </c>
      <c r="I1535" s="9" t="str">
        <f aca="false">IF(OR(G1535="",H1535=""),"",IF(F1535="Uscita",-1,1)*G1535*H1535)</f>
        <v/>
      </c>
      <c r="J1535" s="13"/>
      <c r="K1535" s="13"/>
    </row>
    <row r="1536" customFormat="false" ht="15" hidden="false" customHeight="false" outlineLevel="0" collapsed="false">
      <c r="A1536" s="12"/>
      <c r="B1536" s="13"/>
      <c r="C1536" s="13"/>
      <c r="D1536" s="13"/>
      <c r="E1536" s="7" t="str">
        <f aca="false">IF(D1536="","",IFERROR(INDEX(Materiali!$B:$B,MATCH(D1536,Materiali!$A:$A,0)),"codice?"))</f>
        <v/>
      </c>
      <c r="F1536" s="13"/>
      <c r="G1536" s="13"/>
      <c r="H1536" s="9" t="str">
        <f aca="false">IF(D1536="","",IFERROR(INDEX(Materiali!$C:$C,MATCH(D1536,Materiali!$A:$A,0)),0))</f>
        <v/>
      </c>
      <c r="I1536" s="9" t="str">
        <f aca="false">IF(OR(G1536="",H1536=""),"",IF(F1536="Uscita",-1,1)*G1536*H1536)</f>
        <v/>
      </c>
      <c r="J1536" s="13"/>
      <c r="K1536" s="13"/>
    </row>
    <row r="1537" customFormat="false" ht="15" hidden="false" customHeight="false" outlineLevel="0" collapsed="false">
      <c r="A1537" s="12"/>
      <c r="B1537" s="13"/>
      <c r="C1537" s="13"/>
      <c r="D1537" s="13"/>
      <c r="E1537" s="7" t="str">
        <f aca="false">IF(D1537="","",IFERROR(INDEX(Materiali!$B:$B,MATCH(D1537,Materiali!$A:$A,0)),"codice?"))</f>
        <v/>
      </c>
      <c r="F1537" s="13"/>
      <c r="G1537" s="13"/>
      <c r="H1537" s="9" t="str">
        <f aca="false">IF(D1537="","",IFERROR(INDEX(Materiali!$C:$C,MATCH(D1537,Materiali!$A:$A,0)),0))</f>
        <v/>
      </c>
      <c r="I1537" s="9" t="str">
        <f aca="false">IF(OR(G1537="",H1537=""),"",IF(F1537="Uscita",-1,1)*G1537*H1537)</f>
        <v/>
      </c>
      <c r="J1537" s="13"/>
      <c r="K1537" s="13"/>
    </row>
    <row r="1538" customFormat="false" ht="15" hidden="false" customHeight="false" outlineLevel="0" collapsed="false">
      <c r="A1538" s="12"/>
      <c r="B1538" s="13"/>
      <c r="C1538" s="13"/>
      <c r="D1538" s="13"/>
      <c r="E1538" s="7" t="str">
        <f aca="false">IF(D1538="","",IFERROR(INDEX(Materiali!$B:$B,MATCH(D1538,Materiali!$A:$A,0)),"codice?"))</f>
        <v/>
      </c>
      <c r="F1538" s="13"/>
      <c r="G1538" s="13"/>
      <c r="H1538" s="9" t="str">
        <f aca="false">IF(D1538="","",IFERROR(INDEX(Materiali!$C:$C,MATCH(D1538,Materiali!$A:$A,0)),0))</f>
        <v/>
      </c>
      <c r="I1538" s="9" t="str">
        <f aca="false">IF(OR(G1538="",H1538=""),"",IF(F1538="Uscita",-1,1)*G1538*H1538)</f>
        <v/>
      </c>
      <c r="J1538" s="13"/>
      <c r="K1538" s="13"/>
    </row>
    <row r="1539" customFormat="false" ht="15" hidden="false" customHeight="false" outlineLevel="0" collapsed="false">
      <c r="A1539" s="12"/>
      <c r="B1539" s="13"/>
      <c r="C1539" s="13"/>
      <c r="D1539" s="13"/>
      <c r="E1539" s="7" t="str">
        <f aca="false">IF(D1539="","",IFERROR(INDEX(Materiali!$B:$B,MATCH(D1539,Materiali!$A:$A,0)),"codice?"))</f>
        <v/>
      </c>
      <c r="F1539" s="13"/>
      <c r="G1539" s="13"/>
      <c r="H1539" s="9" t="str">
        <f aca="false">IF(D1539="","",IFERROR(INDEX(Materiali!$C:$C,MATCH(D1539,Materiali!$A:$A,0)),0))</f>
        <v/>
      </c>
      <c r="I1539" s="9" t="str">
        <f aca="false">IF(OR(G1539="",H1539=""),"",IF(F1539="Uscita",-1,1)*G1539*H1539)</f>
        <v/>
      </c>
      <c r="J1539" s="13"/>
      <c r="K1539" s="13"/>
    </row>
    <row r="1540" customFormat="false" ht="15" hidden="false" customHeight="false" outlineLevel="0" collapsed="false">
      <c r="A1540" s="12"/>
      <c r="B1540" s="13"/>
      <c r="C1540" s="13"/>
      <c r="D1540" s="13"/>
      <c r="E1540" s="7" t="str">
        <f aca="false">IF(D1540="","",IFERROR(INDEX(Materiali!$B:$B,MATCH(D1540,Materiali!$A:$A,0)),"codice?"))</f>
        <v/>
      </c>
      <c r="F1540" s="13"/>
      <c r="G1540" s="13"/>
      <c r="H1540" s="9" t="str">
        <f aca="false">IF(D1540="","",IFERROR(INDEX(Materiali!$C:$C,MATCH(D1540,Materiali!$A:$A,0)),0))</f>
        <v/>
      </c>
      <c r="I1540" s="9" t="str">
        <f aca="false">IF(OR(G1540="",H1540=""),"",IF(F1540="Uscita",-1,1)*G1540*H1540)</f>
        <v/>
      </c>
      <c r="J1540" s="13"/>
      <c r="K1540" s="13"/>
    </row>
    <row r="1541" customFormat="false" ht="15" hidden="false" customHeight="false" outlineLevel="0" collapsed="false">
      <c r="A1541" s="12"/>
      <c r="B1541" s="13"/>
      <c r="C1541" s="13"/>
      <c r="D1541" s="13"/>
      <c r="E1541" s="7" t="str">
        <f aca="false">IF(D1541="","",IFERROR(INDEX(Materiali!$B:$B,MATCH(D1541,Materiali!$A:$A,0)),"codice?"))</f>
        <v/>
      </c>
      <c r="F1541" s="13"/>
      <c r="G1541" s="13"/>
      <c r="H1541" s="9" t="str">
        <f aca="false">IF(D1541="","",IFERROR(INDEX(Materiali!$C:$C,MATCH(D1541,Materiali!$A:$A,0)),0))</f>
        <v/>
      </c>
      <c r="I1541" s="9" t="str">
        <f aca="false">IF(OR(G1541="",H1541=""),"",IF(F1541="Uscita",-1,1)*G1541*H1541)</f>
        <v/>
      </c>
      <c r="J1541" s="13"/>
      <c r="K1541" s="13"/>
    </row>
    <row r="1542" customFormat="false" ht="15" hidden="false" customHeight="false" outlineLevel="0" collapsed="false">
      <c r="A1542" s="12"/>
      <c r="B1542" s="13"/>
      <c r="C1542" s="13"/>
      <c r="D1542" s="13"/>
      <c r="E1542" s="7" t="str">
        <f aca="false">IF(D1542="","",IFERROR(INDEX(Materiali!$B:$B,MATCH(D1542,Materiali!$A:$A,0)),"codice?"))</f>
        <v/>
      </c>
      <c r="F1542" s="13"/>
      <c r="G1542" s="13"/>
      <c r="H1542" s="9" t="str">
        <f aca="false">IF(D1542="","",IFERROR(INDEX(Materiali!$C:$C,MATCH(D1542,Materiali!$A:$A,0)),0))</f>
        <v/>
      </c>
      <c r="I1542" s="9" t="str">
        <f aca="false">IF(OR(G1542="",H1542=""),"",IF(F1542="Uscita",-1,1)*G1542*H1542)</f>
        <v/>
      </c>
      <c r="J1542" s="13"/>
      <c r="K1542" s="13"/>
    </row>
    <row r="1543" customFormat="false" ht="15" hidden="false" customHeight="false" outlineLevel="0" collapsed="false">
      <c r="A1543" s="12"/>
      <c r="B1543" s="13"/>
      <c r="C1543" s="13"/>
      <c r="D1543" s="13"/>
      <c r="E1543" s="7" t="str">
        <f aca="false">IF(D1543="","",IFERROR(INDEX(Materiali!$B:$B,MATCH(D1543,Materiali!$A:$A,0)),"codice?"))</f>
        <v/>
      </c>
      <c r="F1543" s="13"/>
      <c r="G1543" s="13"/>
      <c r="H1543" s="9" t="str">
        <f aca="false">IF(D1543="","",IFERROR(INDEX(Materiali!$C:$C,MATCH(D1543,Materiali!$A:$A,0)),0))</f>
        <v/>
      </c>
      <c r="I1543" s="9" t="str">
        <f aca="false">IF(OR(G1543="",H1543=""),"",IF(F1543="Uscita",-1,1)*G1543*H1543)</f>
        <v/>
      </c>
      <c r="J1543" s="13"/>
      <c r="K1543" s="13"/>
    </row>
    <row r="1544" customFormat="false" ht="15" hidden="false" customHeight="false" outlineLevel="0" collapsed="false">
      <c r="A1544" s="12"/>
      <c r="B1544" s="13"/>
      <c r="C1544" s="13"/>
      <c r="D1544" s="13"/>
      <c r="E1544" s="7" t="str">
        <f aca="false">IF(D1544="","",IFERROR(INDEX(Materiali!$B:$B,MATCH(D1544,Materiali!$A:$A,0)),"codice?"))</f>
        <v/>
      </c>
      <c r="F1544" s="13"/>
      <c r="G1544" s="13"/>
      <c r="H1544" s="9" t="str">
        <f aca="false">IF(D1544="","",IFERROR(INDEX(Materiali!$C:$C,MATCH(D1544,Materiali!$A:$A,0)),0))</f>
        <v/>
      </c>
      <c r="I1544" s="9" t="str">
        <f aca="false">IF(OR(G1544="",H1544=""),"",IF(F1544="Uscita",-1,1)*G1544*H1544)</f>
        <v/>
      </c>
      <c r="J1544" s="13"/>
      <c r="K1544" s="13"/>
    </row>
    <row r="1545" customFormat="false" ht="15" hidden="false" customHeight="false" outlineLevel="0" collapsed="false">
      <c r="A1545" s="12"/>
      <c r="B1545" s="13"/>
      <c r="C1545" s="13"/>
      <c r="D1545" s="13"/>
      <c r="E1545" s="7" t="str">
        <f aca="false">IF(D1545="","",IFERROR(INDEX(Materiali!$B:$B,MATCH(D1545,Materiali!$A:$A,0)),"codice?"))</f>
        <v/>
      </c>
      <c r="F1545" s="13"/>
      <c r="G1545" s="13"/>
      <c r="H1545" s="9" t="str">
        <f aca="false">IF(D1545="","",IFERROR(INDEX(Materiali!$C:$C,MATCH(D1545,Materiali!$A:$A,0)),0))</f>
        <v/>
      </c>
      <c r="I1545" s="9" t="str">
        <f aca="false">IF(OR(G1545="",H1545=""),"",IF(F1545="Uscita",-1,1)*G1545*H1545)</f>
        <v/>
      </c>
      <c r="J1545" s="13"/>
      <c r="K1545" s="13"/>
    </row>
    <row r="1546" customFormat="false" ht="15" hidden="false" customHeight="false" outlineLevel="0" collapsed="false">
      <c r="A1546" s="12"/>
      <c r="B1546" s="13"/>
      <c r="C1546" s="13"/>
      <c r="D1546" s="13"/>
      <c r="E1546" s="7" t="str">
        <f aca="false">IF(D1546="","",IFERROR(INDEX(Materiali!$B:$B,MATCH(D1546,Materiali!$A:$A,0)),"codice?"))</f>
        <v/>
      </c>
      <c r="F1546" s="13"/>
      <c r="G1546" s="13"/>
      <c r="H1546" s="9" t="str">
        <f aca="false">IF(D1546="","",IFERROR(INDEX(Materiali!$C:$C,MATCH(D1546,Materiali!$A:$A,0)),0))</f>
        <v/>
      </c>
      <c r="I1546" s="9" t="str">
        <f aca="false">IF(OR(G1546="",H1546=""),"",IF(F1546="Uscita",-1,1)*G1546*H1546)</f>
        <v/>
      </c>
      <c r="J1546" s="13"/>
      <c r="K1546" s="13"/>
    </row>
    <row r="1547" customFormat="false" ht="15" hidden="false" customHeight="false" outlineLevel="0" collapsed="false">
      <c r="A1547" s="12"/>
      <c r="B1547" s="13"/>
      <c r="C1547" s="13"/>
      <c r="D1547" s="13"/>
      <c r="E1547" s="7" t="str">
        <f aca="false">IF(D1547="","",IFERROR(INDEX(Materiali!$B:$B,MATCH(D1547,Materiali!$A:$A,0)),"codice?"))</f>
        <v/>
      </c>
      <c r="F1547" s="13"/>
      <c r="G1547" s="13"/>
      <c r="H1547" s="9" t="str">
        <f aca="false">IF(D1547="","",IFERROR(INDEX(Materiali!$C:$C,MATCH(D1547,Materiali!$A:$A,0)),0))</f>
        <v/>
      </c>
      <c r="I1547" s="9" t="str">
        <f aca="false">IF(OR(G1547="",H1547=""),"",IF(F1547="Uscita",-1,1)*G1547*H1547)</f>
        <v/>
      </c>
      <c r="J1547" s="13"/>
      <c r="K1547" s="13"/>
    </row>
    <row r="1548" customFormat="false" ht="15" hidden="false" customHeight="false" outlineLevel="0" collapsed="false">
      <c r="A1548" s="12"/>
      <c r="B1548" s="13"/>
      <c r="C1548" s="13"/>
      <c r="D1548" s="13"/>
      <c r="E1548" s="7" t="str">
        <f aca="false">IF(D1548="","",IFERROR(INDEX(Materiali!$B:$B,MATCH(D1548,Materiali!$A:$A,0)),"codice?"))</f>
        <v/>
      </c>
      <c r="F1548" s="13"/>
      <c r="G1548" s="13"/>
      <c r="H1548" s="9" t="str">
        <f aca="false">IF(D1548="","",IFERROR(INDEX(Materiali!$C:$C,MATCH(D1548,Materiali!$A:$A,0)),0))</f>
        <v/>
      </c>
      <c r="I1548" s="9" t="str">
        <f aca="false">IF(OR(G1548="",H1548=""),"",IF(F1548="Uscita",-1,1)*G1548*H1548)</f>
        <v/>
      </c>
      <c r="J1548" s="13"/>
      <c r="K1548" s="13"/>
    </row>
    <row r="1549" customFormat="false" ht="15" hidden="false" customHeight="false" outlineLevel="0" collapsed="false">
      <c r="A1549" s="12"/>
      <c r="B1549" s="13"/>
      <c r="C1549" s="13"/>
      <c r="D1549" s="13"/>
      <c r="E1549" s="7" t="str">
        <f aca="false">IF(D1549="","",IFERROR(INDEX(Materiali!$B:$B,MATCH(D1549,Materiali!$A:$A,0)),"codice?"))</f>
        <v/>
      </c>
      <c r="F1549" s="13"/>
      <c r="G1549" s="13"/>
      <c r="H1549" s="9" t="str">
        <f aca="false">IF(D1549="","",IFERROR(INDEX(Materiali!$C:$C,MATCH(D1549,Materiali!$A:$A,0)),0))</f>
        <v/>
      </c>
      <c r="I1549" s="9" t="str">
        <f aca="false">IF(OR(G1549="",H1549=""),"",IF(F1549="Uscita",-1,1)*G1549*H1549)</f>
        <v/>
      </c>
      <c r="J1549" s="13"/>
      <c r="K1549" s="13"/>
    </row>
    <row r="1550" customFormat="false" ht="15" hidden="false" customHeight="false" outlineLevel="0" collapsed="false">
      <c r="A1550" s="12"/>
      <c r="B1550" s="13"/>
      <c r="C1550" s="13"/>
      <c r="D1550" s="13"/>
      <c r="E1550" s="7" t="str">
        <f aca="false">IF(D1550="","",IFERROR(INDEX(Materiali!$B:$B,MATCH(D1550,Materiali!$A:$A,0)),"codice?"))</f>
        <v/>
      </c>
      <c r="F1550" s="13"/>
      <c r="G1550" s="13"/>
      <c r="H1550" s="9" t="str">
        <f aca="false">IF(D1550="","",IFERROR(INDEX(Materiali!$C:$C,MATCH(D1550,Materiali!$A:$A,0)),0))</f>
        <v/>
      </c>
      <c r="I1550" s="9" t="str">
        <f aca="false">IF(OR(G1550="",H1550=""),"",IF(F1550="Uscita",-1,1)*G1550*H1550)</f>
        <v/>
      </c>
      <c r="J1550" s="13"/>
      <c r="K1550" s="13"/>
    </row>
    <row r="1551" customFormat="false" ht="15" hidden="false" customHeight="false" outlineLevel="0" collapsed="false">
      <c r="A1551" s="12"/>
      <c r="B1551" s="13"/>
      <c r="C1551" s="13"/>
      <c r="D1551" s="13"/>
      <c r="E1551" s="7" t="str">
        <f aca="false">IF(D1551="","",IFERROR(INDEX(Materiali!$B:$B,MATCH(D1551,Materiali!$A:$A,0)),"codice?"))</f>
        <v/>
      </c>
      <c r="F1551" s="13"/>
      <c r="G1551" s="13"/>
      <c r="H1551" s="9" t="str">
        <f aca="false">IF(D1551="","",IFERROR(INDEX(Materiali!$C:$C,MATCH(D1551,Materiali!$A:$A,0)),0))</f>
        <v/>
      </c>
      <c r="I1551" s="9" t="str">
        <f aca="false">IF(OR(G1551="",H1551=""),"",IF(F1551="Uscita",-1,1)*G1551*H1551)</f>
        <v/>
      </c>
      <c r="J1551" s="13"/>
      <c r="K1551" s="13"/>
    </row>
    <row r="1552" customFormat="false" ht="15" hidden="false" customHeight="false" outlineLevel="0" collapsed="false">
      <c r="A1552" s="12"/>
      <c r="B1552" s="13"/>
      <c r="C1552" s="13"/>
      <c r="D1552" s="13"/>
      <c r="E1552" s="7" t="str">
        <f aca="false">IF(D1552="","",IFERROR(INDEX(Materiali!$B:$B,MATCH(D1552,Materiali!$A:$A,0)),"codice?"))</f>
        <v/>
      </c>
      <c r="F1552" s="13"/>
      <c r="G1552" s="13"/>
      <c r="H1552" s="9" t="str">
        <f aca="false">IF(D1552="","",IFERROR(INDEX(Materiali!$C:$C,MATCH(D1552,Materiali!$A:$A,0)),0))</f>
        <v/>
      </c>
      <c r="I1552" s="9" t="str">
        <f aca="false">IF(OR(G1552="",H1552=""),"",IF(F1552="Uscita",-1,1)*G1552*H1552)</f>
        <v/>
      </c>
      <c r="J1552" s="13"/>
      <c r="K1552" s="13"/>
    </row>
    <row r="1553" customFormat="false" ht="15" hidden="false" customHeight="false" outlineLevel="0" collapsed="false">
      <c r="A1553" s="12"/>
      <c r="B1553" s="13"/>
      <c r="C1553" s="13"/>
      <c r="D1553" s="13"/>
      <c r="E1553" s="7" t="str">
        <f aca="false">IF(D1553="","",IFERROR(INDEX(Materiali!$B:$B,MATCH(D1553,Materiali!$A:$A,0)),"codice?"))</f>
        <v/>
      </c>
      <c r="F1553" s="13"/>
      <c r="G1553" s="13"/>
      <c r="H1553" s="9" t="str">
        <f aca="false">IF(D1553="","",IFERROR(INDEX(Materiali!$C:$C,MATCH(D1553,Materiali!$A:$A,0)),0))</f>
        <v/>
      </c>
      <c r="I1553" s="9" t="str">
        <f aca="false">IF(OR(G1553="",H1553=""),"",IF(F1553="Uscita",-1,1)*G1553*H1553)</f>
        <v/>
      </c>
      <c r="J1553" s="13"/>
      <c r="K1553" s="13"/>
    </row>
    <row r="1554" customFormat="false" ht="15" hidden="false" customHeight="false" outlineLevel="0" collapsed="false">
      <c r="A1554" s="12"/>
      <c r="B1554" s="13"/>
      <c r="C1554" s="13"/>
      <c r="D1554" s="13"/>
      <c r="E1554" s="7" t="str">
        <f aca="false">IF(D1554="","",IFERROR(INDEX(Materiali!$B:$B,MATCH(D1554,Materiali!$A:$A,0)),"codice?"))</f>
        <v/>
      </c>
      <c r="F1554" s="13"/>
      <c r="G1554" s="13"/>
      <c r="H1554" s="9" t="str">
        <f aca="false">IF(D1554="","",IFERROR(INDEX(Materiali!$C:$C,MATCH(D1554,Materiali!$A:$A,0)),0))</f>
        <v/>
      </c>
      <c r="I1554" s="9" t="str">
        <f aca="false">IF(OR(G1554="",H1554=""),"",IF(F1554="Uscita",-1,1)*G1554*H1554)</f>
        <v/>
      </c>
      <c r="J1554" s="13"/>
      <c r="K1554" s="13"/>
    </row>
    <row r="1555" customFormat="false" ht="15" hidden="false" customHeight="false" outlineLevel="0" collapsed="false">
      <c r="A1555" s="12"/>
      <c r="B1555" s="13"/>
      <c r="C1555" s="13"/>
      <c r="D1555" s="13"/>
      <c r="E1555" s="7" t="str">
        <f aca="false">IF(D1555="","",IFERROR(INDEX(Materiali!$B:$B,MATCH(D1555,Materiali!$A:$A,0)),"codice?"))</f>
        <v/>
      </c>
      <c r="F1555" s="13"/>
      <c r="G1555" s="13"/>
      <c r="H1555" s="9" t="str">
        <f aca="false">IF(D1555="","",IFERROR(INDEX(Materiali!$C:$C,MATCH(D1555,Materiali!$A:$A,0)),0))</f>
        <v/>
      </c>
      <c r="I1555" s="9" t="str">
        <f aca="false">IF(OR(G1555="",H1555=""),"",IF(F1555="Uscita",-1,1)*G1555*H1555)</f>
        <v/>
      </c>
      <c r="J1555" s="13"/>
      <c r="K1555" s="13"/>
    </row>
    <row r="1556" customFormat="false" ht="15" hidden="false" customHeight="false" outlineLevel="0" collapsed="false">
      <c r="A1556" s="12"/>
      <c r="B1556" s="13"/>
      <c r="C1556" s="13"/>
      <c r="D1556" s="13"/>
      <c r="E1556" s="7" t="str">
        <f aca="false">IF(D1556="","",IFERROR(INDEX(Materiali!$B:$B,MATCH(D1556,Materiali!$A:$A,0)),"codice?"))</f>
        <v/>
      </c>
      <c r="F1556" s="13"/>
      <c r="G1556" s="13"/>
      <c r="H1556" s="9" t="str">
        <f aca="false">IF(D1556="","",IFERROR(INDEX(Materiali!$C:$C,MATCH(D1556,Materiali!$A:$A,0)),0))</f>
        <v/>
      </c>
      <c r="I1556" s="9" t="str">
        <f aca="false">IF(OR(G1556="",H1556=""),"",IF(F1556="Uscita",-1,1)*G1556*H1556)</f>
        <v/>
      </c>
      <c r="J1556" s="13"/>
      <c r="K1556" s="13"/>
    </row>
    <row r="1557" customFormat="false" ht="15" hidden="false" customHeight="false" outlineLevel="0" collapsed="false">
      <c r="A1557" s="12"/>
      <c r="B1557" s="13"/>
      <c r="C1557" s="13"/>
      <c r="D1557" s="13"/>
      <c r="E1557" s="7" t="str">
        <f aca="false">IF(D1557="","",IFERROR(INDEX(Materiali!$B:$B,MATCH(D1557,Materiali!$A:$A,0)),"codice?"))</f>
        <v/>
      </c>
      <c r="F1557" s="13"/>
      <c r="G1557" s="13"/>
      <c r="H1557" s="9" t="str">
        <f aca="false">IF(D1557="","",IFERROR(INDEX(Materiali!$C:$C,MATCH(D1557,Materiali!$A:$A,0)),0))</f>
        <v/>
      </c>
      <c r="I1557" s="9" t="str">
        <f aca="false">IF(OR(G1557="",H1557=""),"",IF(F1557="Uscita",-1,1)*G1557*H1557)</f>
        <v/>
      </c>
      <c r="J1557" s="13"/>
      <c r="K1557" s="13"/>
    </row>
    <row r="1558" customFormat="false" ht="15" hidden="false" customHeight="false" outlineLevel="0" collapsed="false">
      <c r="A1558" s="12"/>
      <c r="B1558" s="13"/>
      <c r="C1558" s="13"/>
      <c r="D1558" s="13"/>
      <c r="E1558" s="7" t="str">
        <f aca="false">IF(D1558="","",IFERROR(INDEX(Materiali!$B:$B,MATCH(D1558,Materiali!$A:$A,0)),"codice?"))</f>
        <v/>
      </c>
      <c r="F1558" s="13"/>
      <c r="G1558" s="13"/>
      <c r="H1558" s="9" t="str">
        <f aca="false">IF(D1558="","",IFERROR(INDEX(Materiali!$C:$C,MATCH(D1558,Materiali!$A:$A,0)),0))</f>
        <v/>
      </c>
      <c r="I1558" s="9" t="str">
        <f aca="false">IF(OR(G1558="",H1558=""),"",IF(F1558="Uscita",-1,1)*G1558*H1558)</f>
        <v/>
      </c>
      <c r="J1558" s="13"/>
      <c r="K1558" s="13"/>
    </row>
    <row r="1559" customFormat="false" ht="15" hidden="false" customHeight="false" outlineLevel="0" collapsed="false">
      <c r="A1559" s="12"/>
      <c r="B1559" s="13"/>
      <c r="C1559" s="13"/>
      <c r="D1559" s="13"/>
      <c r="E1559" s="7" t="str">
        <f aca="false">IF(D1559="","",IFERROR(INDEX(Materiali!$B:$B,MATCH(D1559,Materiali!$A:$A,0)),"codice?"))</f>
        <v/>
      </c>
      <c r="F1559" s="13"/>
      <c r="G1559" s="13"/>
      <c r="H1559" s="9" t="str">
        <f aca="false">IF(D1559="","",IFERROR(INDEX(Materiali!$C:$C,MATCH(D1559,Materiali!$A:$A,0)),0))</f>
        <v/>
      </c>
      <c r="I1559" s="9" t="str">
        <f aca="false">IF(OR(G1559="",H1559=""),"",IF(F1559="Uscita",-1,1)*G1559*H1559)</f>
        <v/>
      </c>
      <c r="J1559" s="13"/>
      <c r="K1559" s="13"/>
    </row>
    <row r="1560" customFormat="false" ht="15" hidden="false" customHeight="false" outlineLevel="0" collapsed="false">
      <c r="A1560" s="12"/>
      <c r="B1560" s="13"/>
      <c r="C1560" s="13"/>
      <c r="D1560" s="13"/>
      <c r="E1560" s="7" t="str">
        <f aca="false">IF(D1560="","",IFERROR(INDEX(Materiali!$B:$B,MATCH(D1560,Materiali!$A:$A,0)),"codice?"))</f>
        <v/>
      </c>
      <c r="F1560" s="13"/>
      <c r="G1560" s="13"/>
      <c r="H1560" s="9" t="str">
        <f aca="false">IF(D1560="","",IFERROR(INDEX(Materiali!$C:$C,MATCH(D1560,Materiali!$A:$A,0)),0))</f>
        <v/>
      </c>
      <c r="I1560" s="9" t="str">
        <f aca="false">IF(OR(G1560="",H1560=""),"",IF(F1560="Uscita",-1,1)*G1560*H1560)</f>
        <v/>
      </c>
      <c r="J1560" s="13"/>
      <c r="K1560" s="13"/>
    </row>
    <row r="1561" customFormat="false" ht="15" hidden="false" customHeight="false" outlineLevel="0" collapsed="false">
      <c r="A1561" s="12"/>
      <c r="B1561" s="13"/>
      <c r="C1561" s="13"/>
      <c r="D1561" s="13"/>
      <c r="E1561" s="7" t="str">
        <f aca="false">IF(D1561="","",IFERROR(INDEX(Materiali!$B:$B,MATCH(D1561,Materiali!$A:$A,0)),"codice?"))</f>
        <v/>
      </c>
      <c r="F1561" s="13"/>
      <c r="G1561" s="13"/>
      <c r="H1561" s="9" t="str">
        <f aca="false">IF(D1561="","",IFERROR(INDEX(Materiali!$C:$C,MATCH(D1561,Materiali!$A:$A,0)),0))</f>
        <v/>
      </c>
      <c r="I1561" s="9" t="str">
        <f aca="false">IF(OR(G1561="",H1561=""),"",IF(F1561="Uscita",-1,1)*G1561*H1561)</f>
        <v/>
      </c>
      <c r="J1561" s="13"/>
      <c r="K1561" s="13"/>
    </row>
    <row r="1562" customFormat="false" ht="15" hidden="false" customHeight="false" outlineLevel="0" collapsed="false">
      <c r="A1562" s="12"/>
      <c r="B1562" s="13"/>
      <c r="C1562" s="13"/>
      <c r="D1562" s="13"/>
      <c r="E1562" s="7" t="str">
        <f aca="false">IF(D1562="","",IFERROR(INDEX(Materiali!$B:$B,MATCH(D1562,Materiali!$A:$A,0)),"codice?"))</f>
        <v/>
      </c>
      <c r="F1562" s="13"/>
      <c r="G1562" s="13"/>
      <c r="H1562" s="9" t="str">
        <f aca="false">IF(D1562="","",IFERROR(INDEX(Materiali!$C:$C,MATCH(D1562,Materiali!$A:$A,0)),0))</f>
        <v/>
      </c>
      <c r="I1562" s="9" t="str">
        <f aca="false">IF(OR(G1562="",H1562=""),"",IF(F1562="Uscita",-1,1)*G1562*H1562)</f>
        <v/>
      </c>
      <c r="J1562" s="13"/>
      <c r="K1562" s="13"/>
    </row>
    <row r="1563" customFormat="false" ht="15" hidden="false" customHeight="false" outlineLevel="0" collapsed="false">
      <c r="A1563" s="12"/>
      <c r="B1563" s="13"/>
      <c r="C1563" s="13"/>
      <c r="D1563" s="13"/>
      <c r="E1563" s="7" t="str">
        <f aca="false">IF(D1563="","",IFERROR(INDEX(Materiali!$B:$B,MATCH(D1563,Materiali!$A:$A,0)),"codice?"))</f>
        <v/>
      </c>
      <c r="F1563" s="13"/>
      <c r="G1563" s="13"/>
      <c r="H1563" s="9" t="str">
        <f aca="false">IF(D1563="","",IFERROR(INDEX(Materiali!$C:$C,MATCH(D1563,Materiali!$A:$A,0)),0))</f>
        <v/>
      </c>
      <c r="I1563" s="9" t="str">
        <f aca="false">IF(OR(G1563="",H1563=""),"",IF(F1563="Uscita",-1,1)*G1563*H1563)</f>
        <v/>
      </c>
      <c r="J1563" s="13"/>
      <c r="K1563" s="13"/>
    </row>
    <row r="1564" customFormat="false" ht="15" hidden="false" customHeight="false" outlineLevel="0" collapsed="false">
      <c r="A1564" s="12"/>
      <c r="B1564" s="13"/>
      <c r="C1564" s="13"/>
      <c r="D1564" s="13"/>
      <c r="E1564" s="7" t="str">
        <f aca="false">IF(D1564="","",IFERROR(INDEX(Materiali!$B:$B,MATCH(D1564,Materiali!$A:$A,0)),"codice?"))</f>
        <v/>
      </c>
      <c r="F1564" s="13"/>
      <c r="G1564" s="13"/>
      <c r="H1564" s="9" t="str">
        <f aca="false">IF(D1564="","",IFERROR(INDEX(Materiali!$C:$C,MATCH(D1564,Materiali!$A:$A,0)),0))</f>
        <v/>
      </c>
      <c r="I1564" s="9" t="str">
        <f aca="false">IF(OR(G1564="",H1564=""),"",IF(F1564="Uscita",-1,1)*G1564*H1564)</f>
        <v/>
      </c>
      <c r="J1564" s="13"/>
      <c r="K1564" s="13"/>
    </row>
    <row r="1565" customFormat="false" ht="15" hidden="false" customHeight="false" outlineLevel="0" collapsed="false">
      <c r="A1565" s="12"/>
      <c r="B1565" s="13"/>
      <c r="C1565" s="13"/>
      <c r="D1565" s="13"/>
      <c r="E1565" s="7" t="str">
        <f aca="false">IF(D1565="","",IFERROR(INDEX(Materiali!$B:$B,MATCH(D1565,Materiali!$A:$A,0)),"codice?"))</f>
        <v/>
      </c>
      <c r="F1565" s="13"/>
      <c r="G1565" s="13"/>
      <c r="H1565" s="9" t="str">
        <f aca="false">IF(D1565="","",IFERROR(INDEX(Materiali!$C:$C,MATCH(D1565,Materiali!$A:$A,0)),0))</f>
        <v/>
      </c>
      <c r="I1565" s="9" t="str">
        <f aca="false">IF(OR(G1565="",H1565=""),"",IF(F1565="Uscita",-1,1)*G1565*H1565)</f>
        <v/>
      </c>
      <c r="J1565" s="13"/>
      <c r="K1565" s="13"/>
    </row>
    <row r="1566" customFormat="false" ht="15" hidden="false" customHeight="false" outlineLevel="0" collapsed="false">
      <c r="A1566" s="12"/>
      <c r="B1566" s="13"/>
      <c r="C1566" s="13"/>
      <c r="D1566" s="13"/>
      <c r="E1566" s="7" t="str">
        <f aca="false">IF(D1566="","",IFERROR(INDEX(Materiali!$B:$B,MATCH(D1566,Materiali!$A:$A,0)),"codice?"))</f>
        <v/>
      </c>
      <c r="F1566" s="13"/>
      <c r="G1566" s="13"/>
      <c r="H1566" s="9" t="str">
        <f aca="false">IF(D1566="","",IFERROR(INDEX(Materiali!$C:$C,MATCH(D1566,Materiali!$A:$A,0)),0))</f>
        <v/>
      </c>
      <c r="I1566" s="9" t="str">
        <f aca="false">IF(OR(G1566="",H1566=""),"",IF(F1566="Uscita",-1,1)*G1566*H1566)</f>
        <v/>
      </c>
      <c r="J1566" s="13"/>
      <c r="K1566" s="13"/>
    </row>
    <row r="1567" customFormat="false" ht="15" hidden="false" customHeight="false" outlineLevel="0" collapsed="false">
      <c r="A1567" s="12"/>
      <c r="B1567" s="13"/>
      <c r="C1567" s="13"/>
      <c r="D1567" s="13"/>
      <c r="E1567" s="7" t="str">
        <f aca="false">IF(D1567="","",IFERROR(INDEX(Materiali!$B:$B,MATCH(D1567,Materiali!$A:$A,0)),"codice?"))</f>
        <v/>
      </c>
      <c r="F1567" s="13"/>
      <c r="G1567" s="13"/>
      <c r="H1567" s="9" t="str">
        <f aca="false">IF(D1567="","",IFERROR(INDEX(Materiali!$C:$C,MATCH(D1567,Materiali!$A:$A,0)),0))</f>
        <v/>
      </c>
      <c r="I1567" s="9" t="str">
        <f aca="false">IF(OR(G1567="",H1567=""),"",IF(F1567="Uscita",-1,1)*G1567*H1567)</f>
        <v/>
      </c>
      <c r="J1567" s="13"/>
      <c r="K1567" s="13"/>
    </row>
    <row r="1568" customFormat="false" ht="15" hidden="false" customHeight="false" outlineLevel="0" collapsed="false">
      <c r="A1568" s="12"/>
      <c r="B1568" s="13"/>
      <c r="C1568" s="13"/>
      <c r="D1568" s="13"/>
      <c r="E1568" s="7" t="str">
        <f aca="false">IF(D1568="","",IFERROR(INDEX(Materiali!$B:$B,MATCH(D1568,Materiali!$A:$A,0)),"codice?"))</f>
        <v/>
      </c>
      <c r="F1568" s="13"/>
      <c r="G1568" s="13"/>
      <c r="H1568" s="9" t="str">
        <f aca="false">IF(D1568="","",IFERROR(INDEX(Materiali!$C:$C,MATCH(D1568,Materiali!$A:$A,0)),0))</f>
        <v/>
      </c>
      <c r="I1568" s="9" t="str">
        <f aca="false">IF(OR(G1568="",H1568=""),"",IF(F1568="Uscita",-1,1)*G1568*H1568)</f>
        <v/>
      </c>
      <c r="J1568" s="13"/>
      <c r="K1568" s="13"/>
    </row>
    <row r="1569" customFormat="false" ht="15" hidden="false" customHeight="false" outlineLevel="0" collapsed="false">
      <c r="A1569" s="12"/>
      <c r="B1569" s="13"/>
      <c r="C1569" s="13"/>
      <c r="D1569" s="13"/>
      <c r="E1569" s="7" t="str">
        <f aca="false">IF(D1569="","",IFERROR(INDEX(Materiali!$B:$B,MATCH(D1569,Materiali!$A:$A,0)),"codice?"))</f>
        <v/>
      </c>
      <c r="F1569" s="13"/>
      <c r="G1569" s="13"/>
      <c r="H1569" s="9" t="str">
        <f aca="false">IF(D1569="","",IFERROR(INDEX(Materiali!$C:$C,MATCH(D1569,Materiali!$A:$A,0)),0))</f>
        <v/>
      </c>
      <c r="I1569" s="9" t="str">
        <f aca="false">IF(OR(G1569="",H1569=""),"",IF(F1569="Uscita",-1,1)*G1569*H1569)</f>
        <v/>
      </c>
      <c r="J1569" s="13"/>
      <c r="K1569" s="13"/>
    </row>
    <row r="1570" customFormat="false" ht="15" hidden="false" customHeight="false" outlineLevel="0" collapsed="false">
      <c r="A1570" s="12"/>
      <c r="B1570" s="13"/>
      <c r="C1570" s="13"/>
      <c r="D1570" s="13"/>
      <c r="E1570" s="7" t="str">
        <f aca="false">IF(D1570="","",IFERROR(INDEX(Materiali!$B:$B,MATCH(D1570,Materiali!$A:$A,0)),"codice?"))</f>
        <v/>
      </c>
      <c r="F1570" s="13"/>
      <c r="G1570" s="13"/>
      <c r="H1570" s="9" t="str">
        <f aca="false">IF(D1570="","",IFERROR(INDEX(Materiali!$C:$C,MATCH(D1570,Materiali!$A:$A,0)),0))</f>
        <v/>
      </c>
      <c r="I1570" s="9" t="str">
        <f aca="false">IF(OR(G1570="",H1570=""),"",IF(F1570="Uscita",-1,1)*G1570*H1570)</f>
        <v/>
      </c>
      <c r="J1570" s="13"/>
      <c r="K1570" s="13"/>
    </row>
    <row r="1571" customFormat="false" ht="15" hidden="false" customHeight="false" outlineLevel="0" collapsed="false">
      <c r="A1571" s="12"/>
      <c r="B1571" s="13"/>
      <c r="C1571" s="13"/>
      <c r="D1571" s="13"/>
      <c r="E1571" s="7" t="str">
        <f aca="false">IF(D1571="","",IFERROR(INDEX(Materiali!$B:$B,MATCH(D1571,Materiali!$A:$A,0)),"codice?"))</f>
        <v/>
      </c>
      <c r="F1571" s="13"/>
      <c r="G1571" s="13"/>
      <c r="H1571" s="9" t="str">
        <f aca="false">IF(D1571="","",IFERROR(INDEX(Materiali!$C:$C,MATCH(D1571,Materiali!$A:$A,0)),0))</f>
        <v/>
      </c>
      <c r="I1571" s="9" t="str">
        <f aca="false">IF(OR(G1571="",H1571=""),"",IF(F1571="Uscita",-1,1)*G1571*H1571)</f>
        <v/>
      </c>
      <c r="J1571" s="13"/>
      <c r="K1571" s="13"/>
    </row>
    <row r="1572" customFormat="false" ht="15" hidden="false" customHeight="false" outlineLevel="0" collapsed="false">
      <c r="A1572" s="12"/>
      <c r="B1572" s="13"/>
      <c r="C1572" s="13"/>
      <c r="D1572" s="13"/>
      <c r="E1572" s="7" t="str">
        <f aca="false">IF(D1572="","",IFERROR(INDEX(Materiali!$B:$B,MATCH(D1572,Materiali!$A:$A,0)),"codice?"))</f>
        <v/>
      </c>
      <c r="F1572" s="13"/>
      <c r="G1572" s="13"/>
      <c r="H1572" s="9" t="str">
        <f aca="false">IF(D1572="","",IFERROR(INDEX(Materiali!$C:$C,MATCH(D1572,Materiali!$A:$A,0)),0))</f>
        <v/>
      </c>
      <c r="I1572" s="9" t="str">
        <f aca="false">IF(OR(G1572="",H1572=""),"",IF(F1572="Uscita",-1,1)*G1572*H1572)</f>
        <v/>
      </c>
      <c r="J1572" s="13"/>
      <c r="K1572" s="13"/>
    </row>
    <row r="1573" customFormat="false" ht="15" hidden="false" customHeight="false" outlineLevel="0" collapsed="false">
      <c r="A1573" s="12"/>
      <c r="B1573" s="13"/>
      <c r="C1573" s="13"/>
      <c r="D1573" s="13"/>
      <c r="E1573" s="7" t="str">
        <f aca="false">IF(D1573="","",IFERROR(INDEX(Materiali!$B:$B,MATCH(D1573,Materiali!$A:$A,0)),"codice?"))</f>
        <v/>
      </c>
      <c r="F1573" s="13"/>
      <c r="G1573" s="13"/>
      <c r="H1573" s="9" t="str">
        <f aca="false">IF(D1573="","",IFERROR(INDEX(Materiali!$C:$C,MATCH(D1573,Materiali!$A:$A,0)),0))</f>
        <v/>
      </c>
      <c r="I1573" s="9" t="str">
        <f aca="false">IF(OR(G1573="",H1573=""),"",IF(F1573="Uscita",-1,1)*G1573*H1573)</f>
        <v/>
      </c>
      <c r="J1573" s="13"/>
      <c r="K1573" s="13"/>
    </row>
    <row r="1574" customFormat="false" ht="15" hidden="false" customHeight="false" outlineLevel="0" collapsed="false">
      <c r="A1574" s="12"/>
      <c r="B1574" s="13"/>
      <c r="C1574" s="13"/>
      <c r="D1574" s="13"/>
      <c r="E1574" s="7" t="str">
        <f aca="false">IF(D1574="","",IFERROR(INDEX(Materiali!$B:$B,MATCH(D1574,Materiali!$A:$A,0)),"codice?"))</f>
        <v/>
      </c>
      <c r="F1574" s="13"/>
      <c r="G1574" s="13"/>
      <c r="H1574" s="9" t="str">
        <f aca="false">IF(D1574="","",IFERROR(INDEX(Materiali!$C:$C,MATCH(D1574,Materiali!$A:$A,0)),0))</f>
        <v/>
      </c>
      <c r="I1574" s="9" t="str">
        <f aca="false">IF(OR(G1574="",H1574=""),"",IF(F1574="Uscita",-1,1)*G1574*H1574)</f>
        <v/>
      </c>
      <c r="J1574" s="13"/>
      <c r="K1574" s="13"/>
    </row>
    <row r="1575" customFormat="false" ht="15" hidden="false" customHeight="false" outlineLevel="0" collapsed="false">
      <c r="A1575" s="12"/>
      <c r="B1575" s="13"/>
      <c r="C1575" s="13"/>
      <c r="D1575" s="13"/>
      <c r="E1575" s="7" t="str">
        <f aca="false">IF(D1575="","",IFERROR(INDEX(Materiali!$B:$B,MATCH(D1575,Materiali!$A:$A,0)),"codice?"))</f>
        <v/>
      </c>
      <c r="F1575" s="13"/>
      <c r="G1575" s="13"/>
      <c r="H1575" s="9" t="str">
        <f aca="false">IF(D1575="","",IFERROR(INDEX(Materiali!$C:$C,MATCH(D1575,Materiali!$A:$A,0)),0))</f>
        <v/>
      </c>
      <c r="I1575" s="9" t="str">
        <f aca="false">IF(OR(G1575="",H1575=""),"",IF(F1575="Uscita",-1,1)*G1575*H1575)</f>
        <v/>
      </c>
      <c r="J1575" s="13"/>
      <c r="K1575" s="13"/>
    </row>
    <row r="1576" customFormat="false" ht="15" hidden="false" customHeight="false" outlineLevel="0" collapsed="false">
      <c r="A1576" s="12"/>
      <c r="B1576" s="13"/>
      <c r="C1576" s="13"/>
      <c r="D1576" s="13"/>
      <c r="E1576" s="7" t="str">
        <f aca="false">IF(D1576="","",IFERROR(INDEX(Materiali!$B:$B,MATCH(D1576,Materiali!$A:$A,0)),"codice?"))</f>
        <v/>
      </c>
      <c r="F1576" s="13"/>
      <c r="G1576" s="13"/>
      <c r="H1576" s="9" t="str">
        <f aca="false">IF(D1576="","",IFERROR(INDEX(Materiali!$C:$C,MATCH(D1576,Materiali!$A:$A,0)),0))</f>
        <v/>
      </c>
      <c r="I1576" s="9" t="str">
        <f aca="false">IF(OR(G1576="",H1576=""),"",IF(F1576="Uscita",-1,1)*G1576*H1576)</f>
        <v/>
      </c>
      <c r="J1576" s="13"/>
      <c r="K1576" s="13"/>
    </row>
    <row r="1577" customFormat="false" ht="15" hidden="false" customHeight="false" outlineLevel="0" collapsed="false">
      <c r="A1577" s="12"/>
      <c r="B1577" s="13"/>
      <c r="C1577" s="13"/>
      <c r="D1577" s="13"/>
      <c r="E1577" s="7" t="str">
        <f aca="false">IF(D1577="","",IFERROR(INDEX(Materiali!$B:$B,MATCH(D1577,Materiali!$A:$A,0)),"codice?"))</f>
        <v/>
      </c>
      <c r="F1577" s="13"/>
      <c r="G1577" s="13"/>
      <c r="H1577" s="9" t="str">
        <f aca="false">IF(D1577="","",IFERROR(INDEX(Materiali!$C:$C,MATCH(D1577,Materiali!$A:$A,0)),0))</f>
        <v/>
      </c>
      <c r="I1577" s="9" t="str">
        <f aca="false">IF(OR(G1577="",H1577=""),"",IF(F1577="Uscita",-1,1)*G1577*H1577)</f>
        <v/>
      </c>
      <c r="J1577" s="13"/>
      <c r="K1577" s="13"/>
    </row>
    <row r="1578" customFormat="false" ht="15" hidden="false" customHeight="false" outlineLevel="0" collapsed="false">
      <c r="A1578" s="12"/>
      <c r="B1578" s="13"/>
      <c r="C1578" s="13"/>
      <c r="D1578" s="13"/>
      <c r="E1578" s="7" t="str">
        <f aca="false">IF(D1578="","",IFERROR(INDEX(Materiali!$B:$B,MATCH(D1578,Materiali!$A:$A,0)),"codice?"))</f>
        <v/>
      </c>
      <c r="F1578" s="13"/>
      <c r="G1578" s="13"/>
      <c r="H1578" s="9" t="str">
        <f aca="false">IF(D1578="","",IFERROR(INDEX(Materiali!$C:$C,MATCH(D1578,Materiali!$A:$A,0)),0))</f>
        <v/>
      </c>
      <c r="I1578" s="9" t="str">
        <f aca="false">IF(OR(G1578="",H1578=""),"",IF(F1578="Uscita",-1,1)*G1578*H1578)</f>
        <v/>
      </c>
      <c r="J1578" s="13"/>
      <c r="K1578" s="13"/>
    </row>
    <row r="1579" customFormat="false" ht="15" hidden="false" customHeight="false" outlineLevel="0" collapsed="false">
      <c r="A1579" s="12"/>
      <c r="B1579" s="13"/>
      <c r="C1579" s="13"/>
      <c r="D1579" s="13"/>
      <c r="E1579" s="7" t="str">
        <f aca="false">IF(D1579="","",IFERROR(INDEX(Materiali!$B:$B,MATCH(D1579,Materiali!$A:$A,0)),"codice?"))</f>
        <v/>
      </c>
      <c r="F1579" s="13"/>
      <c r="G1579" s="13"/>
      <c r="H1579" s="9" t="str">
        <f aca="false">IF(D1579="","",IFERROR(INDEX(Materiali!$C:$C,MATCH(D1579,Materiali!$A:$A,0)),0))</f>
        <v/>
      </c>
      <c r="I1579" s="9" t="str">
        <f aca="false">IF(OR(G1579="",H1579=""),"",IF(F1579="Uscita",-1,1)*G1579*H1579)</f>
        <v/>
      </c>
      <c r="J1579" s="13"/>
      <c r="K1579" s="13"/>
    </row>
    <row r="1580" customFormat="false" ht="15" hidden="false" customHeight="false" outlineLevel="0" collapsed="false">
      <c r="A1580" s="12"/>
      <c r="B1580" s="13"/>
      <c r="C1580" s="13"/>
      <c r="D1580" s="13"/>
      <c r="E1580" s="7" t="str">
        <f aca="false">IF(D1580="","",IFERROR(INDEX(Materiali!$B:$B,MATCH(D1580,Materiali!$A:$A,0)),"codice?"))</f>
        <v/>
      </c>
      <c r="F1580" s="13"/>
      <c r="G1580" s="13"/>
      <c r="H1580" s="9" t="str">
        <f aca="false">IF(D1580="","",IFERROR(INDEX(Materiali!$C:$C,MATCH(D1580,Materiali!$A:$A,0)),0))</f>
        <v/>
      </c>
      <c r="I1580" s="9" t="str">
        <f aca="false">IF(OR(G1580="",H1580=""),"",IF(F1580="Uscita",-1,1)*G1580*H1580)</f>
        <v/>
      </c>
      <c r="J1580" s="13"/>
      <c r="K1580" s="13"/>
    </row>
    <row r="1581" customFormat="false" ht="15" hidden="false" customHeight="false" outlineLevel="0" collapsed="false">
      <c r="A1581" s="12"/>
      <c r="B1581" s="13"/>
      <c r="C1581" s="13"/>
      <c r="D1581" s="13"/>
      <c r="E1581" s="7" t="str">
        <f aca="false">IF(D1581="","",IFERROR(INDEX(Materiali!$B:$B,MATCH(D1581,Materiali!$A:$A,0)),"codice?"))</f>
        <v/>
      </c>
      <c r="F1581" s="13"/>
      <c r="G1581" s="13"/>
      <c r="H1581" s="9" t="str">
        <f aca="false">IF(D1581="","",IFERROR(INDEX(Materiali!$C:$C,MATCH(D1581,Materiali!$A:$A,0)),0))</f>
        <v/>
      </c>
      <c r="I1581" s="9" t="str">
        <f aca="false">IF(OR(G1581="",H1581=""),"",IF(F1581="Uscita",-1,1)*G1581*H1581)</f>
        <v/>
      </c>
      <c r="J1581" s="13"/>
      <c r="K1581" s="13"/>
    </row>
    <row r="1582" customFormat="false" ht="15" hidden="false" customHeight="false" outlineLevel="0" collapsed="false">
      <c r="A1582" s="12"/>
      <c r="B1582" s="13"/>
      <c r="C1582" s="13"/>
      <c r="D1582" s="13"/>
      <c r="E1582" s="7" t="str">
        <f aca="false">IF(D1582="","",IFERROR(INDEX(Materiali!$B:$B,MATCH(D1582,Materiali!$A:$A,0)),"codice?"))</f>
        <v/>
      </c>
      <c r="F1582" s="13"/>
      <c r="G1582" s="13"/>
      <c r="H1582" s="9" t="str">
        <f aca="false">IF(D1582="","",IFERROR(INDEX(Materiali!$C:$C,MATCH(D1582,Materiali!$A:$A,0)),0))</f>
        <v/>
      </c>
      <c r="I1582" s="9" t="str">
        <f aca="false">IF(OR(G1582="",H1582=""),"",IF(F1582="Uscita",-1,1)*G1582*H1582)</f>
        <v/>
      </c>
      <c r="J1582" s="13"/>
      <c r="K1582" s="13"/>
    </row>
    <row r="1583" customFormat="false" ht="15" hidden="false" customHeight="false" outlineLevel="0" collapsed="false">
      <c r="A1583" s="12"/>
      <c r="B1583" s="13"/>
      <c r="C1583" s="13"/>
      <c r="D1583" s="13"/>
      <c r="E1583" s="7" t="str">
        <f aca="false">IF(D1583="","",IFERROR(INDEX(Materiali!$B:$B,MATCH(D1583,Materiali!$A:$A,0)),"codice?"))</f>
        <v/>
      </c>
      <c r="F1583" s="13"/>
      <c r="G1583" s="13"/>
      <c r="H1583" s="9" t="str">
        <f aca="false">IF(D1583="","",IFERROR(INDEX(Materiali!$C:$C,MATCH(D1583,Materiali!$A:$A,0)),0))</f>
        <v/>
      </c>
      <c r="I1583" s="9" t="str">
        <f aca="false">IF(OR(G1583="",H1583=""),"",IF(F1583="Uscita",-1,1)*G1583*H1583)</f>
        <v/>
      </c>
      <c r="J1583" s="13"/>
      <c r="K1583" s="13"/>
    </row>
    <row r="1584" customFormat="false" ht="15" hidden="false" customHeight="false" outlineLevel="0" collapsed="false">
      <c r="A1584" s="12"/>
      <c r="B1584" s="13"/>
      <c r="C1584" s="13"/>
      <c r="D1584" s="13"/>
      <c r="E1584" s="7" t="str">
        <f aca="false">IF(D1584="","",IFERROR(INDEX(Materiali!$B:$B,MATCH(D1584,Materiali!$A:$A,0)),"codice?"))</f>
        <v/>
      </c>
      <c r="F1584" s="13"/>
      <c r="G1584" s="13"/>
      <c r="H1584" s="9" t="str">
        <f aca="false">IF(D1584="","",IFERROR(INDEX(Materiali!$C:$C,MATCH(D1584,Materiali!$A:$A,0)),0))</f>
        <v/>
      </c>
      <c r="I1584" s="9" t="str">
        <f aca="false">IF(OR(G1584="",H1584=""),"",IF(F1584="Uscita",-1,1)*G1584*H1584)</f>
        <v/>
      </c>
      <c r="J1584" s="13"/>
      <c r="K1584" s="13"/>
    </row>
    <row r="1585" customFormat="false" ht="15" hidden="false" customHeight="false" outlineLevel="0" collapsed="false">
      <c r="A1585" s="12"/>
      <c r="B1585" s="13"/>
      <c r="C1585" s="13"/>
      <c r="D1585" s="13"/>
      <c r="E1585" s="7" t="str">
        <f aca="false">IF(D1585="","",IFERROR(INDEX(Materiali!$B:$B,MATCH(D1585,Materiali!$A:$A,0)),"codice?"))</f>
        <v/>
      </c>
      <c r="F1585" s="13"/>
      <c r="G1585" s="13"/>
      <c r="H1585" s="9" t="str">
        <f aca="false">IF(D1585="","",IFERROR(INDEX(Materiali!$C:$C,MATCH(D1585,Materiali!$A:$A,0)),0))</f>
        <v/>
      </c>
      <c r="I1585" s="9" t="str">
        <f aca="false">IF(OR(G1585="",H1585=""),"",IF(F1585="Uscita",-1,1)*G1585*H1585)</f>
        <v/>
      </c>
      <c r="J1585" s="13"/>
      <c r="K1585" s="13"/>
    </row>
    <row r="1586" customFormat="false" ht="15" hidden="false" customHeight="false" outlineLevel="0" collapsed="false">
      <c r="A1586" s="12"/>
      <c r="B1586" s="13"/>
      <c r="C1586" s="13"/>
      <c r="D1586" s="13"/>
      <c r="E1586" s="7" t="str">
        <f aca="false">IF(D1586="","",IFERROR(INDEX(Materiali!$B:$B,MATCH(D1586,Materiali!$A:$A,0)),"codice?"))</f>
        <v/>
      </c>
      <c r="F1586" s="13"/>
      <c r="G1586" s="13"/>
      <c r="H1586" s="9" t="str">
        <f aca="false">IF(D1586="","",IFERROR(INDEX(Materiali!$C:$C,MATCH(D1586,Materiali!$A:$A,0)),0))</f>
        <v/>
      </c>
      <c r="I1586" s="9" t="str">
        <f aca="false">IF(OR(G1586="",H1586=""),"",IF(F1586="Uscita",-1,1)*G1586*H1586)</f>
        <v/>
      </c>
      <c r="J1586" s="13"/>
      <c r="K1586" s="13"/>
    </row>
    <row r="1587" customFormat="false" ht="15" hidden="false" customHeight="false" outlineLevel="0" collapsed="false">
      <c r="A1587" s="12"/>
      <c r="B1587" s="13"/>
      <c r="C1587" s="13"/>
      <c r="D1587" s="13"/>
      <c r="E1587" s="7" t="str">
        <f aca="false">IF(D1587="","",IFERROR(INDEX(Materiali!$B:$B,MATCH(D1587,Materiali!$A:$A,0)),"codice?"))</f>
        <v/>
      </c>
      <c r="F1587" s="13"/>
      <c r="G1587" s="13"/>
      <c r="H1587" s="9" t="str">
        <f aca="false">IF(D1587="","",IFERROR(INDEX(Materiali!$C:$C,MATCH(D1587,Materiali!$A:$A,0)),0))</f>
        <v/>
      </c>
      <c r="I1587" s="9" t="str">
        <f aca="false">IF(OR(G1587="",H1587=""),"",IF(F1587="Uscita",-1,1)*G1587*H1587)</f>
        <v/>
      </c>
      <c r="J1587" s="13"/>
      <c r="K1587" s="13"/>
    </row>
    <row r="1588" customFormat="false" ht="15" hidden="false" customHeight="false" outlineLevel="0" collapsed="false">
      <c r="A1588" s="12"/>
      <c r="B1588" s="13"/>
      <c r="C1588" s="13"/>
      <c r="D1588" s="13"/>
      <c r="E1588" s="7" t="str">
        <f aca="false">IF(D1588="","",IFERROR(INDEX(Materiali!$B:$B,MATCH(D1588,Materiali!$A:$A,0)),"codice?"))</f>
        <v/>
      </c>
      <c r="F1588" s="13"/>
      <c r="G1588" s="13"/>
      <c r="H1588" s="9" t="str">
        <f aca="false">IF(D1588="","",IFERROR(INDEX(Materiali!$C:$C,MATCH(D1588,Materiali!$A:$A,0)),0))</f>
        <v/>
      </c>
      <c r="I1588" s="9" t="str">
        <f aca="false">IF(OR(G1588="",H1588=""),"",IF(F1588="Uscita",-1,1)*G1588*H1588)</f>
        <v/>
      </c>
      <c r="J1588" s="13"/>
      <c r="K1588" s="13"/>
    </row>
    <row r="1589" customFormat="false" ht="15" hidden="false" customHeight="false" outlineLevel="0" collapsed="false">
      <c r="A1589" s="12"/>
      <c r="B1589" s="13"/>
      <c r="C1589" s="13"/>
      <c r="D1589" s="13"/>
      <c r="E1589" s="7" t="str">
        <f aca="false">IF(D1589="","",IFERROR(INDEX(Materiali!$B:$B,MATCH(D1589,Materiali!$A:$A,0)),"codice?"))</f>
        <v/>
      </c>
      <c r="F1589" s="13"/>
      <c r="G1589" s="13"/>
      <c r="H1589" s="9" t="str">
        <f aca="false">IF(D1589="","",IFERROR(INDEX(Materiali!$C:$C,MATCH(D1589,Materiali!$A:$A,0)),0))</f>
        <v/>
      </c>
      <c r="I1589" s="9" t="str">
        <f aca="false">IF(OR(G1589="",H1589=""),"",IF(F1589="Uscita",-1,1)*G1589*H1589)</f>
        <v/>
      </c>
      <c r="J1589" s="13"/>
      <c r="K1589" s="13"/>
    </row>
    <row r="1590" customFormat="false" ht="15" hidden="false" customHeight="false" outlineLevel="0" collapsed="false">
      <c r="A1590" s="12"/>
      <c r="B1590" s="13"/>
      <c r="C1590" s="13"/>
      <c r="D1590" s="13"/>
      <c r="E1590" s="7" t="str">
        <f aca="false">IF(D1590="","",IFERROR(INDEX(Materiali!$B:$B,MATCH(D1590,Materiali!$A:$A,0)),"codice?"))</f>
        <v/>
      </c>
      <c r="F1590" s="13"/>
      <c r="G1590" s="13"/>
      <c r="H1590" s="9" t="str">
        <f aca="false">IF(D1590="","",IFERROR(INDEX(Materiali!$C:$C,MATCH(D1590,Materiali!$A:$A,0)),0))</f>
        <v/>
      </c>
      <c r="I1590" s="9" t="str">
        <f aca="false">IF(OR(G1590="",H1590=""),"",IF(F1590="Uscita",-1,1)*G1590*H1590)</f>
        <v/>
      </c>
      <c r="J1590" s="13"/>
      <c r="K1590" s="13"/>
    </row>
    <row r="1591" customFormat="false" ht="15" hidden="false" customHeight="false" outlineLevel="0" collapsed="false">
      <c r="A1591" s="12"/>
      <c r="B1591" s="13"/>
      <c r="C1591" s="13"/>
      <c r="D1591" s="13"/>
      <c r="E1591" s="7" t="str">
        <f aca="false">IF(D1591="","",IFERROR(INDEX(Materiali!$B:$B,MATCH(D1591,Materiali!$A:$A,0)),"codice?"))</f>
        <v/>
      </c>
      <c r="F1591" s="13"/>
      <c r="G1591" s="13"/>
      <c r="H1591" s="9" t="str">
        <f aca="false">IF(D1591="","",IFERROR(INDEX(Materiali!$C:$C,MATCH(D1591,Materiali!$A:$A,0)),0))</f>
        <v/>
      </c>
      <c r="I1591" s="9" t="str">
        <f aca="false">IF(OR(G1591="",H1591=""),"",IF(F1591="Uscita",-1,1)*G1591*H1591)</f>
        <v/>
      </c>
      <c r="J1591" s="13"/>
      <c r="K1591" s="13"/>
    </row>
    <row r="1592" customFormat="false" ht="15" hidden="false" customHeight="false" outlineLevel="0" collapsed="false">
      <c r="A1592" s="12"/>
      <c r="B1592" s="13"/>
      <c r="C1592" s="13"/>
      <c r="D1592" s="13"/>
      <c r="E1592" s="7" t="str">
        <f aca="false">IF(D1592="","",IFERROR(INDEX(Materiali!$B:$B,MATCH(D1592,Materiali!$A:$A,0)),"codice?"))</f>
        <v/>
      </c>
      <c r="F1592" s="13"/>
      <c r="G1592" s="13"/>
      <c r="H1592" s="9" t="str">
        <f aca="false">IF(D1592="","",IFERROR(INDEX(Materiali!$C:$C,MATCH(D1592,Materiali!$A:$A,0)),0))</f>
        <v/>
      </c>
      <c r="I1592" s="9" t="str">
        <f aca="false">IF(OR(G1592="",H1592=""),"",IF(F1592="Uscita",-1,1)*G1592*H1592)</f>
        <v/>
      </c>
      <c r="J1592" s="13"/>
      <c r="K1592" s="13"/>
    </row>
    <row r="1593" customFormat="false" ht="15" hidden="false" customHeight="false" outlineLevel="0" collapsed="false">
      <c r="A1593" s="12"/>
      <c r="B1593" s="13"/>
      <c r="C1593" s="13"/>
      <c r="D1593" s="13"/>
      <c r="E1593" s="7" t="str">
        <f aca="false">IF(D1593="","",IFERROR(INDEX(Materiali!$B:$B,MATCH(D1593,Materiali!$A:$A,0)),"codice?"))</f>
        <v/>
      </c>
      <c r="F1593" s="13"/>
      <c r="G1593" s="13"/>
      <c r="H1593" s="9" t="str">
        <f aca="false">IF(D1593="","",IFERROR(INDEX(Materiali!$C:$C,MATCH(D1593,Materiali!$A:$A,0)),0))</f>
        <v/>
      </c>
      <c r="I1593" s="9" t="str">
        <f aca="false">IF(OR(G1593="",H1593=""),"",IF(F1593="Uscita",-1,1)*G1593*H1593)</f>
        <v/>
      </c>
      <c r="J1593" s="13"/>
      <c r="K1593" s="13"/>
    </row>
    <row r="1594" customFormat="false" ht="15" hidden="false" customHeight="false" outlineLevel="0" collapsed="false">
      <c r="A1594" s="12"/>
      <c r="B1594" s="13"/>
      <c r="C1594" s="13"/>
      <c r="D1594" s="13"/>
      <c r="E1594" s="7" t="str">
        <f aca="false">IF(D1594="","",IFERROR(INDEX(Materiali!$B:$B,MATCH(D1594,Materiali!$A:$A,0)),"codice?"))</f>
        <v/>
      </c>
      <c r="F1594" s="13"/>
      <c r="G1594" s="13"/>
      <c r="H1594" s="9" t="str">
        <f aca="false">IF(D1594="","",IFERROR(INDEX(Materiali!$C:$C,MATCH(D1594,Materiali!$A:$A,0)),0))</f>
        <v/>
      </c>
      <c r="I1594" s="9" t="str">
        <f aca="false">IF(OR(G1594="",H1594=""),"",IF(F1594="Uscita",-1,1)*G1594*H1594)</f>
        <v/>
      </c>
      <c r="J1594" s="13"/>
      <c r="K1594" s="13"/>
    </row>
    <row r="1595" customFormat="false" ht="15" hidden="false" customHeight="false" outlineLevel="0" collapsed="false">
      <c r="A1595" s="12"/>
      <c r="B1595" s="13"/>
      <c r="C1595" s="13"/>
      <c r="D1595" s="13"/>
      <c r="E1595" s="7" t="str">
        <f aca="false">IF(D1595="","",IFERROR(INDEX(Materiali!$B:$B,MATCH(D1595,Materiali!$A:$A,0)),"codice?"))</f>
        <v/>
      </c>
      <c r="F1595" s="13"/>
      <c r="G1595" s="13"/>
      <c r="H1595" s="9" t="str">
        <f aca="false">IF(D1595="","",IFERROR(INDEX(Materiali!$C:$C,MATCH(D1595,Materiali!$A:$A,0)),0))</f>
        <v/>
      </c>
      <c r="I1595" s="9" t="str">
        <f aca="false">IF(OR(G1595="",H1595=""),"",IF(F1595="Uscita",-1,1)*G1595*H1595)</f>
        <v/>
      </c>
      <c r="J1595" s="13"/>
      <c r="K1595" s="13"/>
    </row>
    <row r="1596" customFormat="false" ht="15" hidden="false" customHeight="false" outlineLevel="0" collapsed="false">
      <c r="A1596" s="12"/>
      <c r="B1596" s="13"/>
      <c r="C1596" s="13"/>
      <c r="D1596" s="13"/>
      <c r="E1596" s="7" t="str">
        <f aca="false">IF(D1596="","",IFERROR(INDEX(Materiali!$B:$B,MATCH(D1596,Materiali!$A:$A,0)),"codice?"))</f>
        <v/>
      </c>
      <c r="F1596" s="13"/>
      <c r="G1596" s="13"/>
      <c r="H1596" s="9" t="str">
        <f aca="false">IF(D1596="","",IFERROR(INDEX(Materiali!$C:$C,MATCH(D1596,Materiali!$A:$A,0)),0))</f>
        <v/>
      </c>
      <c r="I1596" s="9" t="str">
        <f aca="false">IF(OR(G1596="",H1596=""),"",IF(F1596="Uscita",-1,1)*G1596*H1596)</f>
        <v/>
      </c>
      <c r="J1596" s="13"/>
      <c r="K1596" s="13"/>
    </row>
    <row r="1597" customFormat="false" ht="15" hidden="false" customHeight="false" outlineLevel="0" collapsed="false">
      <c r="A1597" s="12"/>
      <c r="B1597" s="13"/>
      <c r="C1597" s="13"/>
      <c r="D1597" s="13"/>
      <c r="E1597" s="7" t="str">
        <f aca="false">IF(D1597="","",IFERROR(INDEX(Materiali!$B:$B,MATCH(D1597,Materiali!$A:$A,0)),"codice?"))</f>
        <v/>
      </c>
      <c r="F1597" s="13"/>
      <c r="G1597" s="13"/>
      <c r="H1597" s="9" t="str">
        <f aca="false">IF(D1597="","",IFERROR(INDEX(Materiali!$C:$C,MATCH(D1597,Materiali!$A:$A,0)),0))</f>
        <v/>
      </c>
      <c r="I1597" s="9" t="str">
        <f aca="false">IF(OR(G1597="",H1597=""),"",IF(F1597="Uscita",-1,1)*G1597*H1597)</f>
        <v/>
      </c>
      <c r="J1597" s="13"/>
      <c r="K1597" s="13"/>
    </row>
    <row r="1598" customFormat="false" ht="15" hidden="false" customHeight="false" outlineLevel="0" collapsed="false">
      <c r="A1598" s="12"/>
      <c r="B1598" s="13"/>
      <c r="C1598" s="13"/>
      <c r="D1598" s="13"/>
      <c r="E1598" s="7" t="str">
        <f aca="false">IF(D1598="","",IFERROR(INDEX(Materiali!$B:$B,MATCH(D1598,Materiali!$A:$A,0)),"codice?"))</f>
        <v/>
      </c>
      <c r="F1598" s="13"/>
      <c r="G1598" s="13"/>
      <c r="H1598" s="9" t="str">
        <f aca="false">IF(D1598="","",IFERROR(INDEX(Materiali!$C:$C,MATCH(D1598,Materiali!$A:$A,0)),0))</f>
        <v/>
      </c>
      <c r="I1598" s="9" t="str">
        <f aca="false">IF(OR(G1598="",H1598=""),"",IF(F1598="Uscita",-1,1)*G1598*H1598)</f>
        <v/>
      </c>
      <c r="J1598" s="13"/>
      <c r="K1598" s="13"/>
    </row>
    <row r="1599" customFormat="false" ht="15" hidden="false" customHeight="false" outlineLevel="0" collapsed="false">
      <c r="A1599" s="12"/>
      <c r="B1599" s="13"/>
      <c r="C1599" s="13"/>
      <c r="D1599" s="13"/>
      <c r="E1599" s="7" t="str">
        <f aca="false">IF(D1599="","",IFERROR(INDEX(Materiali!$B:$B,MATCH(D1599,Materiali!$A:$A,0)),"codice?"))</f>
        <v/>
      </c>
      <c r="F1599" s="13"/>
      <c r="G1599" s="13"/>
      <c r="H1599" s="9" t="str">
        <f aca="false">IF(D1599="","",IFERROR(INDEX(Materiali!$C:$C,MATCH(D1599,Materiali!$A:$A,0)),0))</f>
        <v/>
      </c>
      <c r="I1599" s="9" t="str">
        <f aca="false">IF(OR(G1599="",H1599=""),"",IF(F1599="Uscita",-1,1)*G1599*H1599)</f>
        <v/>
      </c>
      <c r="J1599" s="13"/>
      <c r="K1599" s="13"/>
    </row>
    <row r="1600" customFormat="false" ht="15" hidden="false" customHeight="false" outlineLevel="0" collapsed="false">
      <c r="A1600" s="12"/>
      <c r="B1600" s="13"/>
      <c r="C1600" s="13"/>
      <c r="D1600" s="13"/>
      <c r="E1600" s="7" t="str">
        <f aca="false">IF(D1600="","",IFERROR(INDEX(Materiali!$B:$B,MATCH(D1600,Materiali!$A:$A,0)),"codice?"))</f>
        <v/>
      </c>
      <c r="F1600" s="13"/>
      <c r="G1600" s="13"/>
      <c r="H1600" s="9" t="str">
        <f aca="false">IF(D1600="","",IFERROR(INDEX(Materiali!$C:$C,MATCH(D1600,Materiali!$A:$A,0)),0))</f>
        <v/>
      </c>
      <c r="I1600" s="9" t="str">
        <f aca="false">IF(OR(G1600="",H1600=""),"",IF(F1600="Uscita",-1,1)*G1600*H1600)</f>
        <v/>
      </c>
      <c r="J1600" s="13"/>
      <c r="K1600" s="13"/>
    </row>
    <row r="1601" customFormat="false" ht="15" hidden="false" customHeight="false" outlineLevel="0" collapsed="false">
      <c r="A1601" s="12"/>
      <c r="B1601" s="13"/>
      <c r="C1601" s="13"/>
      <c r="D1601" s="13"/>
      <c r="E1601" s="7" t="str">
        <f aca="false">IF(D1601="","",IFERROR(INDEX(Materiali!$B:$B,MATCH(D1601,Materiali!$A:$A,0)),"codice?"))</f>
        <v/>
      </c>
      <c r="F1601" s="13"/>
      <c r="G1601" s="13"/>
      <c r="H1601" s="9" t="str">
        <f aca="false">IF(D1601="","",IFERROR(INDEX(Materiali!$C:$C,MATCH(D1601,Materiali!$A:$A,0)),0))</f>
        <v/>
      </c>
      <c r="I1601" s="9" t="str">
        <f aca="false">IF(OR(G1601="",H1601=""),"",IF(F1601="Uscita",-1,1)*G1601*H1601)</f>
        <v/>
      </c>
      <c r="J1601" s="13"/>
      <c r="K1601" s="13"/>
    </row>
    <row r="1602" customFormat="false" ht="15" hidden="false" customHeight="false" outlineLevel="0" collapsed="false">
      <c r="A1602" s="12"/>
      <c r="B1602" s="13"/>
      <c r="C1602" s="13"/>
      <c r="D1602" s="13"/>
      <c r="E1602" s="7" t="str">
        <f aca="false">IF(D1602="","",IFERROR(INDEX(Materiali!$B:$B,MATCH(D1602,Materiali!$A:$A,0)),"codice?"))</f>
        <v/>
      </c>
      <c r="F1602" s="13"/>
      <c r="G1602" s="13"/>
      <c r="H1602" s="9" t="str">
        <f aca="false">IF(D1602="","",IFERROR(INDEX(Materiali!$C:$C,MATCH(D1602,Materiali!$A:$A,0)),0))</f>
        <v/>
      </c>
      <c r="I1602" s="9" t="str">
        <f aca="false">IF(OR(G1602="",H1602=""),"",IF(F1602="Uscita",-1,1)*G1602*H1602)</f>
        <v/>
      </c>
      <c r="J1602" s="13"/>
      <c r="K1602" s="13"/>
    </row>
    <row r="1603" customFormat="false" ht="15" hidden="false" customHeight="false" outlineLevel="0" collapsed="false">
      <c r="A1603" s="12"/>
      <c r="B1603" s="13"/>
      <c r="C1603" s="13"/>
      <c r="D1603" s="13"/>
      <c r="E1603" s="7" t="str">
        <f aca="false">IF(D1603="","",IFERROR(INDEX(Materiali!$B:$B,MATCH(D1603,Materiali!$A:$A,0)),"codice?"))</f>
        <v/>
      </c>
      <c r="F1603" s="13"/>
      <c r="G1603" s="13"/>
      <c r="H1603" s="9" t="str">
        <f aca="false">IF(D1603="","",IFERROR(INDEX(Materiali!$C:$C,MATCH(D1603,Materiali!$A:$A,0)),0))</f>
        <v/>
      </c>
      <c r="I1603" s="9" t="str">
        <f aca="false">IF(OR(G1603="",H1603=""),"",IF(F1603="Uscita",-1,1)*G1603*H1603)</f>
        <v/>
      </c>
      <c r="J1603" s="13"/>
      <c r="K1603" s="13"/>
    </row>
    <row r="1604" customFormat="false" ht="15" hidden="false" customHeight="false" outlineLevel="0" collapsed="false">
      <c r="A1604" s="12"/>
      <c r="B1604" s="13"/>
      <c r="C1604" s="13"/>
      <c r="D1604" s="13"/>
      <c r="E1604" s="7" t="str">
        <f aca="false">IF(D1604="","",IFERROR(INDEX(Materiali!$B:$B,MATCH(D1604,Materiali!$A:$A,0)),"codice?"))</f>
        <v/>
      </c>
      <c r="F1604" s="13"/>
      <c r="G1604" s="13"/>
      <c r="H1604" s="9" t="str">
        <f aca="false">IF(D1604="","",IFERROR(INDEX(Materiali!$C:$C,MATCH(D1604,Materiali!$A:$A,0)),0))</f>
        <v/>
      </c>
      <c r="I1604" s="9" t="str">
        <f aca="false">IF(OR(G1604="",H1604=""),"",IF(F1604="Uscita",-1,1)*G1604*H1604)</f>
        <v/>
      </c>
      <c r="J1604" s="13"/>
      <c r="K1604" s="13"/>
    </row>
    <row r="1605" customFormat="false" ht="15" hidden="false" customHeight="false" outlineLevel="0" collapsed="false">
      <c r="A1605" s="12"/>
      <c r="B1605" s="13"/>
      <c r="C1605" s="13"/>
      <c r="D1605" s="13"/>
      <c r="E1605" s="7" t="str">
        <f aca="false">IF(D1605="","",IFERROR(INDEX(Materiali!$B:$B,MATCH(D1605,Materiali!$A:$A,0)),"codice?"))</f>
        <v/>
      </c>
      <c r="F1605" s="13"/>
      <c r="G1605" s="13"/>
      <c r="H1605" s="9" t="str">
        <f aca="false">IF(D1605="","",IFERROR(INDEX(Materiali!$C:$C,MATCH(D1605,Materiali!$A:$A,0)),0))</f>
        <v/>
      </c>
      <c r="I1605" s="9" t="str">
        <f aca="false">IF(OR(G1605="",H1605=""),"",IF(F1605="Uscita",-1,1)*G1605*H1605)</f>
        <v/>
      </c>
      <c r="J1605" s="13"/>
      <c r="K1605" s="13"/>
    </row>
    <row r="1606" customFormat="false" ht="15" hidden="false" customHeight="false" outlineLevel="0" collapsed="false">
      <c r="A1606" s="12"/>
      <c r="B1606" s="13"/>
      <c r="C1606" s="13"/>
      <c r="D1606" s="13"/>
      <c r="E1606" s="7" t="str">
        <f aca="false">IF(D1606="","",IFERROR(INDEX(Materiali!$B:$B,MATCH(D1606,Materiali!$A:$A,0)),"codice?"))</f>
        <v/>
      </c>
      <c r="F1606" s="13"/>
      <c r="G1606" s="13"/>
      <c r="H1606" s="9" t="str">
        <f aca="false">IF(D1606="","",IFERROR(INDEX(Materiali!$C:$C,MATCH(D1606,Materiali!$A:$A,0)),0))</f>
        <v/>
      </c>
      <c r="I1606" s="9" t="str">
        <f aca="false">IF(OR(G1606="",H1606=""),"",IF(F1606="Uscita",-1,1)*G1606*H1606)</f>
        <v/>
      </c>
      <c r="J1606" s="13"/>
      <c r="K1606" s="13"/>
    </row>
    <row r="1607" customFormat="false" ht="15" hidden="false" customHeight="false" outlineLevel="0" collapsed="false">
      <c r="A1607" s="12"/>
      <c r="B1607" s="13"/>
      <c r="C1607" s="13"/>
      <c r="D1607" s="13"/>
      <c r="E1607" s="7" t="str">
        <f aca="false">IF(D1607="","",IFERROR(INDEX(Materiali!$B:$B,MATCH(D1607,Materiali!$A:$A,0)),"codice?"))</f>
        <v/>
      </c>
      <c r="F1607" s="13"/>
      <c r="G1607" s="13"/>
      <c r="H1607" s="9" t="str">
        <f aca="false">IF(D1607="","",IFERROR(INDEX(Materiali!$C:$C,MATCH(D1607,Materiali!$A:$A,0)),0))</f>
        <v/>
      </c>
      <c r="I1607" s="9" t="str">
        <f aca="false">IF(OR(G1607="",H1607=""),"",IF(F1607="Uscita",-1,1)*G1607*H1607)</f>
        <v/>
      </c>
      <c r="J1607" s="13"/>
      <c r="K1607" s="13"/>
    </row>
    <row r="1608" customFormat="false" ht="15" hidden="false" customHeight="false" outlineLevel="0" collapsed="false">
      <c r="A1608" s="12"/>
      <c r="B1608" s="13"/>
      <c r="C1608" s="13"/>
      <c r="D1608" s="13"/>
      <c r="E1608" s="7" t="str">
        <f aca="false">IF(D1608="","",IFERROR(INDEX(Materiali!$B:$B,MATCH(D1608,Materiali!$A:$A,0)),"codice?"))</f>
        <v/>
      </c>
      <c r="F1608" s="13"/>
      <c r="G1608" s="13"/>
      <c r="H1608" s="9" t="str">
        <f aca="false">IF(D1608="","",IFERROR(INDEX(Materiali!$C:$C,MATCH(D1608,Materiali!$A:$A,0)),0))</f>
        <v/>
      </c>
      <c r="I1608" s="9" t="str">
        <f aca="false">IF(OR(G1608="",H1608=""),"",IF(F1608="Uscita",-1,1)*G1608*H1608)</f>
        <v/>
      </c>
      <c r="J1608" s="13"/>
      <c r="K1608" s="13"/>
    </row>
    <row r="1609" customFormat="false" ht="15" hidden="false" customHeight="false" outlineLevel="0" collapsed="false">
      <c r="A1609" s="12"/>
      <c r="B1609" s="13"/>
      <c r="C1609" s="13"/>
      <c r="D1609" s="13"/>
      <c r="E1609" s="7" t="str">
        <f aca="false">IF(D1609="","",IFERROR(INDEX(Materiali!$B:$B,MATCH(D1609,Materiali!$A:$A,0)),"codice?"))</f>
        <v/>
      </c>
      <c r="F1609" s="13"/>
      <c r="G1609" s="13"/>
      <c r="H1609" s="9" t="str">
        <f aca="false">IF(D1609="","",IFERROR(INDEX(Materiali!$C:$C,MATCH(D1609,Materiali!$A:$A,0)),0))</f>
        <v/>
      </c>
      <c r="I1609" s="9" t="str">
        <f aca="false">IF(OR(G1609="",H1609=""),"",IF(F1609="Uscita",-1,1)*G1609*H1609)</f>
        <v/>
      </c>
      <c r="J1609" s="13"/>
      <c r="K1609" s="13"/>
    </row>
    <row r="1610" customFormat="false" ht="15" hidden="false" customHeight="false" outlineLevel="0" collapsed="false">
      <c r="A1610" s="12"/>
      <c r="B1610" s="13"/>
      <c r="C1610" s="13"/>
      <c r="D1610" s="13"/>
      <c r="E1610" s="7" t="str">
        <f aca="false">IF(D1610="","",IFERROR(INDEX(Materiali!$B:$B,MATCH(D1610,Materiali!$A:$A,0)),"codice?"))</f>
        <v/>
      </c>
      <c r="F1610" s="13"/>
      <c r="G1610" s="13"/>
      <c r="H1610" s="9" t="str">
        <f aca="false">IF(D1610="","",IFERROR(INDEX(Materiali!$C:$C,MATCH(D1610,Materiali!$A:$A,0)),0))</f>
        <v/>
      </c>
      <c r="I1610" s="9" t="str">
        <f aca="false">IF(OR(G1610="",H1610=""),"",IF(F1610="Uscita",-1,1)*G1610*H1610)</f>
        <v/>
      </c>
      <c r="J1610" s="13"/>
      <c r="K1610" s="13"/>
    </row>
    <row r="1611" customFormat="false" ht="15" hidden="false" customHeight="false" outlineLevel="0" collapsed="false">
      <c r="A1611" s="12"/>
      <c r="B1611" s="13"/>
      <c r="C1611" s="13"/>
      <c r="D1611" s="13"/>
      <c r="E1611" s="7" t="str">
        <f aca="false">IF(D1611="","",IFERROR(INDEX(Materiali!$B:$B,MATCH(D1611,Materiali!$A:$A,0)),"codice?"))</f>
        <v/>
      </c>
      <c r="F1611" s="13"/>
      <c r="G1611" s="13"/>
      <c r="H1611" s="9" t="str">
        <f aca="false">IF(D1611="","",IFERROR(INDEX(Materiali!$C:$C,MATCH(D1611,Materiali!$A:$A,0)),0))</f>
        <v/>
      </c>
      <c r="I1611" s="9" t="str">
        <f aca="false">IF(OR(G1611="",H1611=""),"",IF(F1611="Uscita",-1,1)*G1611*H1611)</f>
        <v/>
      </c>
      <c r="J1611" s="13"/>
      <c r="K1611" s="13"/>
    </row>
    <row r="1612" customFormat="false" ht="15" hidden="false" customHeight="false" outlineLevel="0" collapsed="false">
      <c r="A1612" s="12"/>
      <c r="B1612" s="13"/>
      <c r="C1612" s="13"/>
      <c r="D1612" s="13"/>
      <c r="E1612" s="7" t="str">
        <f aca="false">IF(D1612="","",IFERROR(INDEX(Materiali!$B:$B,MATCH(D1612,Materiali!$A:$A,0)),"codice?"))</f>
        <v/>
      </c>
      <c r="F1612" s="13"/>
      <c r="G1612" s="13"/>
      <c r="H1612" s="9" t="str">
        <f aca="false">IF(D1612="","",IFERROR(INDEX(Materiali!$C:$C,MATCH(D1612,Materiali!$A:$A,0)),0))</f>
        <v/>
      </c>
      <c r="I1612" s="9" t="str">
        <f aca="false">IF(OR(G1612="",H1612=""),"",IF(F1612="Uscita",-1,1)*G1612*H1612)</f>
        <v/>
      </c>
      <c r="J1612" s="13"/>
      <c r="K1612" s="13"/>
    </row>
    <row r="1613" customFormat="false" ht="15" hidden="false" customHeight="false" outlineLevel="0" collapsed="false">
      <c r="A1613" s="12"/>
      <c r="B1613" s="13"/>
      <c r="C1613" s="13"/>
      <c r="D1613" s="13"/>
      <c r="E1613" s="7" t="str">
        <f aca="false">IF(D1613="","",IFERROR(INDEX(Materiali!$B:$B,MATCH(D1613,Materiali!$A:$A,0)),"codice?"))</f>
        <v/>
      </c>
      <c r="F1613" s="13"/>
      <c r="G1613" s="13"/>
      <c r="H1613" s="9" t="str">
        <f aca="false">IF(D1613="","",IFERROR(INDEX(Materiali!$C:$C,MATCH(D1613,Materiali!$A:$A,0)),0))</f>
        <v/>
      </c>
      <c r="I1613" s="9" t="str">
        <f aca="false">IF(OR(G1613="",H1613=""),"",IF(F1613="Uscita",-1,1)*G1613*H1613)</f>
        <v/>
      </c>
      <c r="J1613" s="13"/>
      <c r="K1613" s="13"/>
    </row>
    <row r="1614" customFormat="false" ht="15" hidden="false" customHeight="false" outlineLevel="0" collapsed="false">
      <c r="A1614" s="12"/>
      <c r="B1614" s="13"/>
      <c r="C1614" s="13"/>
      <c r="D1614" s="13"/>
      <c r="E1614" s="7" t="str">
        <f aca="false">IF(D1614="","",IFERROR(INDEX(Materiali!$B:$B,MATCH(D1614,Materiali!$A:$A,0)),"codice?"))</f>
        <v/>
      </c>
      <c r="F1614" s="13"/>
      <c r="G1614" s="13"/>
      <c r="H1614" s="9" t="str">
        <f aca="false">IF(D1614="","",IFERROR(INDEX(Materiali!$C:$C,MATCH(D1614,Materiali!$A:$A,0)),0))</f>
        <v/>
      </c>
      <c r="I1614" s="9" t="str">
        <f aca="false">IF(OR(G1614="",H1614=""),"",IF(F1614="Uscita",-1,1)*G1614*H1614)</f>
        <v/>
      </c>
      <c r="J1614" s="13"/>
      <c r="K1614" s="13"/>
    </row>
    <row r="1615" customFormat="false" ht="15" hidden="false" customHeight="false" outlineLevel="0" collapsed="false">
      <c r="A1615" s="12"/>
      <c r="B1615" s="13"/>
      <c r="C1615" s="13"/>
      <c r="D1615" s="13"/>
      <c r="E1615" s="7" t="str">
        <f aca="false">IF(D1615="","",IFERROR(INDEX(Materiali!$B:$B,MATCH(D1615,Materiali!$A:$A,0)),"codice?"))</f>
        <v/>
      </c>
      <c r="F1615" s="13"/>
      <c r="G1615" s="13"/>
      <c r="H1615" s="9" t="str">
        <f aca="false">IF(D1615="","",IFERROR(INDEX(Materiali!$C:$C,MATCH(D1615,Materiali!$A:$A,0)),0))</f>
        <v/>
      </c>
      <c r="I1615" s="9" t="str">
        <f aca="false">IF(OR(G1615="",H1615=""),"",IF(F1615="Uscita",-1,1)*G1615*H1615)</f>
        <v/>
      </c>
      <c r="J1615" s="13"/>
      <c r="K1615" s="13"/>
    </row>
    <row r="1616" customFormat="false" ht="15" hidden="false" customHeight="false" outlineLevel="0" collapsed="false">
      <c r="A1616" s="12"/>
      <c r="B1616" s="13"/>
      <c r="C1616" s="13"/>
      <c r="D1616" s="13"/>
      <c r="E1616" s="7" t="str">
        <f aca="false">IF(D1616="","",IFERROR(INDEX(Materiali!$B:$B,MATCH(D1616,Materiali!$A:$A,0)),"codice?"))</f>
        <v/>
      </c>
      <c r="F1616" s="13"/>
      <c r="G1616" s="13"/>
      <c r="H1616" s="9" t="str">
        <f aca="false">IF(D1616="","",IFERROR(INDEX(Materiali!$C:$C,MATCH(D1616,Materiali!$A:$A,0)),0))</f>
        <v/>
      </c>
      <c r="I1616" s="9" t="str">
        <f aca="false">IF(OR(G1616="",H1616=""),"",IF(F1616="Uscita",-1,1)*G1616*H1616)</f>
        <v/>
      </c>
      <c r="J1616" s="13"/>
      <c r="K1616" s="13"/>
    </row>
    <row r="1617" customFormat="false" ht="15" hidden="false" customHeight="false" outlineLevel="0" collapsed="false">
      <c r="A1617" s="12"/>
      <c r="B1617" s="13"/>
      <c r="C1617" s="13"/>
      <c r="D1617" s="13"/>
      <c r="E1617" s="7" t="str">
        <f aca="false">IF(D1617="","",IFERROR(INDEX(Materiali!$B:$B,MATCH(D1617,Materiali!$A:$A,0)),"codice?"))</f>
        <v/>
      </c>
      <c r="F1617" s="13"/>
      <c r="G1617" s="13"/>
      <c r="H1617" s="9" t="str">
        <f aca="false">IF(D1617="","",IFERROR(INDEX(Materiali!$C:$C,MATCH(D1617,Materiali!$A:$A,0)),0))</f>
        <v/>
      </c>
      <c r="I1617" s="9" t="str">
        <f aca="false">IF(OR(G1617="",H1617=""),"",IF(F1617="Uscita",-1,1)*G1617*H1617)</f>
        <v/>
      </c>
      <c r="J1617" s="13"/>
      <c r="K1617" s="13"/>
    </row>
    <row r="1618" customFormat="false" ht="15" hidden="false" customHeight="false" outlineLevel="0" collapsed="false">
      <c r="A1618" s="12"/>
      <c r="B1618" s="13"/>
      <c r="C1618" s="13"/>
      <c r="D1618" s="13"/>
      <c r="E1618" s="7" t="str">
        <f aca="false">IF(D1618="","",IFERROR(INDEX(Materiali!$B:$B,MATCH(D1618,Materiali!$A:$A,0)),"codice?"))</f>
        <v/>
      </c>
      <c r="F1618" s="13"/>
      <c r="G1618" s="13"/>
      <c r="H1618" s="9" t="str">
        <f aca="false">IF(D1618="","",IFERROR(INDEX(Materiali!$C:$C,MATCH(D1618,Materiali!$A:$A,0)),0))</f>
        <v/>
      </c>
      <c r="I1618" s="9" t="str">
        <f aca="false">IF(OR(G1618="",H1618=""),"",IF(F1618="Uscita",-1,1)*G1618*H1618)</f>
        <v/>
      </c>
      <c r="J1618" s="13"/>
      <c r="K1618" s="13"/>
    </row>
    <row r="1619" customFormat="false" ht="15" hidden="false" customHeight="false" outlineLevel="0" collapsed="false">
      <c r="A1619" s="12"/>
      <c r="B1619" s="13"/>
      <c r="C1619" s="13"/>
      <c r="D1619" s="13"/>
      <c r="E1619" s="7" t="str">
        <f aca="false">IF(D1619="","",IFERROR(INDEX(Materiali!$B:$B,MATCH(D1619,Materiali!$A:$A,0)),"codice?"))</f>
        <v/>
      </c>
      <c r="F1619" s="13"/>
      <c r="G1619" s="13"/>
      <c r="H1619" s="9" t="str">
        <f aca="false">IF(D1619="","",IFERROR(INDEX(Materiali!$C:$C,MATCH(D1619,Materiali!$A:$A,0)),0))</f>
        <v/>
      </c>
      <c r="I1619" s="9" t="str">
        <f aca="false">IF(OR(G1619="",H1619=""),"",IF(F1619="Uscita",-1,1)*G1619*H1619)</f>
        <v/>
      </c>
      <c r="J1619" s="13"/>
      <c r="K1619" s="13"/>
    </row>
    <row r="1620" customFormat="false" ht="15" hidden="false" customHeight="false" outlineLevel="0" collapsed="false">
      <c r="A1620" s="12"/>
      <c r="B1620" s="13"/>
      <c r="C1620" s="13"/>
      <c r="D1620" s="13"/>
      <c r="E1620" s="7" t="str">
        <f aca="false">IF(D1620="","",IFERROR(INDEX(Materiali!$B:$B,MATCH(D1620,Materiali!$A:$A,0)),"codice?"))</f>
        <v/>
      </c>
      <c r="F1620" s="13"/>
      <c r="G1620" s="13"/>
      <c r="H1620" s="9" t="str">
        <f aca="false">IF(D1620="","",IFERROR(INDEX(Materiali!$C:$C,MATCH(D1620,Materiali!$A:$A,0)),0))</f>
        <v/>
      </c>
      <c r="I1620" s="9" t="str">
        <f aca="false">IF(OR(G1620="",H1620=""),"",IF(F1620="Uscita",-1,1)*G1620*H1620)</f>
        <v/>
      </c>
      <c r="J1620" s="13"/>
      <c r="K1620" s="13"/>
    </row>
    <row r="1621" customFormat="false" ht="15" hidden="false" customHeight="false" outlineLevel="0" collapsed="false">
      <c r="A1621" s="12"/>
      <c r="B1621" s="13"/>
      <c r="C1621" s="13"/>
      <c r="D1621" s="13"/>
      <c r="E1621" s="7" t="str">
        <f aca="false">IF(D1621="","",IFERROR(INDEX(Materiali!$B:$B,MATCH(D1621,Materiali!$A:$A,0)),"codice?"))</f>
        <v/>
      </c>
      <c r="F1621" s="13"/>
      <c r="G1621" s="13"/>
      <c r="H1621" s="9" t="str">
        <f aca="false">IF(D1621="","",IFERROR(INDEX(Materiali!$C:$C,MATCH(D1621,Materiali!$A:$A,0)),0))</f>
        <v/>
      </c>
      <c r="I1621" s="9" t="str">
        <f aca="false">IF(OR(G1621="",H1621=""),"",IF(F1621="Uscita",-1,1)*G1621*H1621)</f>
        <v/>
      </c>
      <c r="J1621" s="13"/>
      <c r="K1621" s="13"/>
    </row>
    <row r="1622" customFormat="false" ht="15" hidden="false" customHeight="false" outlineLevel="0" collapsed="false">
      <c r="A1622" s="12"/>
      <c r="B1622" s="13"/>
      <c r="C1622" s="13"/>
      <c r="D1622" s="13"/>
      <c r="E1622" s="7" t="str">
        <f aca="false">IF(D1622="","",IFERROR(INDEX(Materiali!$B:$B,MATCH(D1622,Materiali!$A:$A,0)),"codice?"))</f>
        <v/>
      </c>
      <c r="F1622" s="13"/>
      <c r="G1622" s="13"/>
      <c r="H1622" s="9" t="str">
        <f aca="false">IF(D1622="","",IFERROR(INDEX(Materiali!$C:$C,MATCH(D1622,Materiali!$A:$A,0)),0))</f>
        <v/>
      </c>
      <c r="I1622" s="9" t="str">
        <f aca="false">IF(OR(G1622="",H1622=""),"",IF(F1622="Uscita",-1,1)*G1622*H1622)</f>
        <v/>
      </c>
      <c r="J1622" s="13"/>
      <c r="K1622" s="13"/>
    </row>
    <row r="1623" customFormat="false" ht="15" hidden="false" customHeight="false" outlineLevel="0" collapsed="false">
      <c r="A1623" s="12"/>
      <c r="B1623" s="13"/>
      <c r="C1623" s="13"/>
      <c r="D1623" s="13"/>
      <c r="E1623" s="7" t="str">
        <f aca="false">IF(D1623="","",IFERROR(INDEX(Materiali!$B:$B,MATCH(D1623,Materiali!$A:$A,0)),"codice?"))</f>
        <v/>
      </c>
      <c r="F1623" s="13"/>
      <c r="G1623" s="13"/>
      <c r="H1623" s="9" t="str">
        <f aca="false">IF(D1623="","",IFERROR(INDEX(Materiali!$C:$C,MATCH(D1623,Materiali!$A:$A,0)),0))</f>
        <v/>
      </c>
      <c r="I1623" s="9" t="str">
        <f aca="false">IF(OR(G1623="",H1623=""),"",IF(F1623="Uscita",-1,1)*G1623*H1623)</f>
        <v/>
      </c>
      <c r="J1623" s="13"/>
      <c r="K1623" s="13"/>
    </row>
    <row r="1624" customFormat="false" ht="15" hidden="false" customHeight="false" outlineLevel="0" collapsed="false">
      <c r="A1624" s="12"/>
      <c r="B1624" s="13"/>
      <c r="C1624" s="13"/>
      <c r="D1624" s="13"/>
      <c r="E1624" s="7" t="str">
        <f aca="false">IF(D1624="","",IFERROR(INDEX(Materiali!$B:$B,MATCH(D1624,Materiali!$A:$A,0)),"codice?"))</f>
        <v/>
      </c>
      <c r="F1624" s="13"/>
      <c r="G1624" s="13"/>
      <c r="H1624" s="9" t="str">
        <f aca="false">IF(D1624="","",IFERROR(INDEX(Materiali!$C:$C,MATCH(D1624,Materiali!$A:$A,0)),0))</f>
        <v/>
      </c>
      <c r="I1624" s="9" t="str">
        <f aca="false">IF(OR(G1624="",H1624=""),"",IF(F1624="Uscita",-1,1)*G1624*H1624)</f>
        <v/>
      </c>
      <c r="J1624" s="13"/>
      <c r="K1624" s="13"/>
    </row>
    <row r="1625" customFormat="false" ht="15" hidden="false" customHeight="false" outlineLevel="0" collapsed="false">
      <c r="A1625" s="12"/>
      <c r="B1625" s="13"/>
      <c r="C1625" s="13"/>
      <c r="D1625" s="13"/>
      <c r="E1625" s="7" t="str">
        <f aca="false">IF(D1625="","",IFERROR(INDEX(Materiali!$B:$B,MATCH(D1625,Materiali!$A:$A,0)),"codice?"))</f>
        <v/>
      </c>
      <c r="F1625" s="13"/>
      <c r="G1625" s="13"/>
      <c r="H1625" s="9" t="str">
        <f aca="false">IF(D1625="","",IFERROR(INDEX(Materiali!$C:$C,MATCH(D1625,Materiali!$A:$A,0)),0))</f>
        <v/>
      </c>
      <c r="I1625" s="9" t="str">
        <f aca="false">IF(OR(G1625="",H1625=""),"",IF(F1625="Uscita",-1,1)*G1625*H1625)</f>
        <v/>
      </c>
      <c r="J1625" s="13"/>
      <c r="K1625" s="13"/>
    </row>
    <row r="1626" customFormat="false" ht="15" hidden="false" customHeight="false" outlineLevel="0" collapsed="false">
      <c r="A1626" s="12"/>
      <c r="B1626" s="13"/>
      <c r="C1626" s="13"/>
      <c r="D1626" s="13"/>
      <c r="E1626" s="7" t="str">
        <f aca="false">IF(D1626="","",IFERROR(INDEX(Materiali!$B:$B,MATCH(D1626,Materiali!$A:$A,0)),"codice?"))</f>
        <v/>
      </c>
      <c r="F1626" s="13"/>
      <c r="G1626" s="13"/>
      <c r="H1626" s="9" t="str">
        <f aca="false">IF(D1626="","",IFERROR(INDEX(Materiali!$C:$C,MATCH(D1626,Materiali!$A:$A,0)),0))</f>
        <v/>
      </c>
      <c r="I1626" s="9" t="str">
        <f aca="false">IF(OR(G1626="",H1626=""),"",IF(F1626="Uscita",-1,1)*G1626*H1626)</f>
        <v/>
      </c>
      <c r="J1626" s="13"/>
      <c r="K1626" s="13"/>
    </row>
    <row r="1627" customFormat="false" ht="15" hidden="false" customHeight="false" outlineLevel="0" collapsed="false">
      <c r="A1627" s="12"/>
      <c r="B1627" s="13"/>
      <c r="C1627" s="13"/>
      <c r="D1627" s="13"/>
      <c r="E1627" s="7" t="str">
        <f aca="false">IF(D1627="","",IFERROR(INDEX(Materiali!$B:$B,MATCH(D1627,Materiali!$A:$A,0)),"codice?"))</f>
        <v/>
      </c>
      <c r="F1627" s="13"/>
      <c r="G1627" s="13"/>
      <c r="H1627" s="9" t="str">
        <f aca="false">IF(D1627="","",IFERROR(INDEX(Materiali!$C:$C,MATCH(D1627,Materiali!$A:$A,0)),0))</f>
        <v/>
      </c>
      <c r="I1627" s="9" t="str">
        <f aca="false">IF(OR(G1627="",H1627=""),"",IF(F1627="Uscita",-1,1)*G1627*H1627)</f>
        <v/>
      </c>
      <c r="J1627" s="13"/>
      <c r="K1627" s="13"/>
    </row>
    <row r="1628" customFormat="false" ht="15" hidden="false" customHeight="false" outlineLevel="0" collapsed="false">
      <c r="A1628" s="12"/>
      <c r="B1628" s="13"/>
      <c r="C1628" s="13"/>
      <c r="D1628" s="13"/>
      <c r="E1628" s="7" t="str">
        <f aca="false">IF(D1628="","",IFERROR(INDEX(Materiali!$B:$B,MATCH(D1628,Materiali!$A:$A,0)),"codice?"))</f>
        <v/>
      </c>
      <c r="F1628" s="13"/>
      <c r="G1628" s="13"/>
      <c r="H1628" s="9" t="str">
        <f aca="false">IF(D1628="","",IFERROR(INDEX(Materiali!$C:$C,MATCH(D1628,Materiali!$A:$A,0)),0))</f>
        <v/>
      </c>
      <c r="I1628" s="9" t="str">
        <f aca="false">IF(OR(G1628="",H1628=""),"",IF(F1628="Uscita",-1,1)*G1628*H1628)</f>
        <v/>
      </c>
      <c r="J1628" s="13"/>
      <c r="K1628" s="13"/>
    </row>
    <row r="1629" customFormat="false" ht="15" hidden="false" customHeight="false" outlineLevel="0" collapsed="false">
      <c r="A1629" s="12"/>
      <c r="B1629" s="13"/>
      <c r="C1629" s="13"/>
      <c r="D1629" s="13"/>
      <c r="E1629" s="7" t="str">
        <f aca="false">IF(D1629="","",IFERROR(INDEX(Materiali!$B:$B,MATCH(D1629,Materiali!$A:$A,0)),"codice?"))</f>
        <v/>
      </c>
      <c r="F1629" s="13"/>
      <c r="G1629" s="13"/>
      <c r="H1629" s="9" t="str">
        <f aca="false">IF(D1629="","",IFERROR(INDEX(Materiali!$C:$C,MATCH(D1629,Materiali!$A:$A,0)),0))</f>
        <v/>
      </c>
      <c r="I1629" s="9" t="str">
        <f aca="false">IF(OR(G1629="",H1629=""),"",IF(F1629="Uscita",-1,1)*G1629*H1629)</f>
        <v/>
      </c>
      <c r="J1629" s="13"/>
      <c r="K1629" s="13"/>
    </row>
    <row r="1630" customFormat="false" ht="15" hidden="false" customHeight="false" outlineLevel="0" collapsed="false">
      <c r="A1630" s="12"/>
      <c r="B1630" s="13"/>
      <c r="C1630" s="13"/>
      <c r="D1630" s="13"/>
      <c r="E1630" s="7" t="str">
        <f aca="false">IF(D1630="","",IFERROR(INDEX(Materiali!$B:$B,MATCH(D1630,Materiali!$A:$A,0)),"codice?"))</f>
        <v/>
      </c>
      <c r="F1630" s="13"/>
      <c r="G1630" s="13"/>
      <c r="H1630" s="9" t="str">
        <f aca="false">IF(D1630="","",IFERROR(INDEX(Materiali!$C:$C,MATCH(D1630,Materiali!$A:$A,0)),0))</f>
        <v/>
      </c>
      <c r="I1630" s="9" t="str">
        <f aca="false">IF(OR(G1630="",H1630=""),"",IF(F1630="Uscita",-1,1)*G1630*H1630)</f>
        <v/>
      </c>
      <c r="J1630" s="13"/>
      <c r="K1630" s="13"/>
    </row>
    <row r="1631" customFormat="false" ht="15" hidden="false" customHeight="false" outlineLevel="0" collapsed="false">
      <c r="A1631" s="12"/>
      <c r="B1631" s="13"/>
      <c r="C1631" s="13"/>
      <c r="D1631" s="13"/>
      <c r="E1631" s="7" t="str">
        <f aca="false">IF(D1631="","",IFERROR(INDEX(Materiali!$B:$B,MATCH(D1631,Materiali!$A:$A,0)),"codice?"))</f>
        <v/>
      </c>
      <c r="F1631" s="13"/>
      <c r="G1631" s="13"/>
      <c r="H1631" s="9" t="str">
        <f aca="false">IF(D1631="","",IFERROR(INDEX(Materiali!$C:$C,MATCH(D1631,Materiali!$A:$A,0)),0))</f>
        <v/>
      </c>
      <c r="I1631" s="9" t="str">
        <f aca="false">IF(OR(G1631="",H1631=""),"",IF(F1631="Uscita",-1,1)*G1631*H1631)</f>
        <v/>
      </c>
      <c r="J1631" s="13"/>
      <c r="K1631" s="13"/>
    </row>
    <row r="1632" customFormat="false" ht="15" hidden="false" customHeight="false" outlineLevel="0" collapsed="false">
      <c r="A1632" s="12"/>
      <c r="B1632" s="13"/>
      <c r="C1632" s="13"/>
      <c r="D1632" s="13"/>
      <c r="E1632" s="7" t="str">
        <f aca="false">IF(D1632="","",IFERROR(INDEX(Materiali!$B:$B,MATCH(D1632,Materiali!$A:$A,0)),"codice?"))</f>
        <v/>
      </c>
      <c r="F1632" s="13"/>
      <c r="G1632" s="13"/>
      <c r="H1632" s="9" t="str">
        <f aca="false">IF(D1632="","",IFERROR(INDEX(Materiali!$C:$C,MATCH(D1632,Materiali!$A:$A,0)),0))</f>
        <v/>
      </c>
      <c r="I1632" s="9" t="str">
        <f aca="false">IF(OR(G1632="",H1632=""),"",IF(F1632="Uscita",-1,1)*G1632*H1632)</f>
        <v/>
      </c>
      <c r="J1632" s="13"/>
      <c r="K1632" s="13"/>
    </row>
    <row r="1633" customFormat="false" ht="15" hidden="false" customHeight="false" outlineLevel="0" collapsed="false">
      <c r="A1633" s="12"/>
      <c r="B1633" s="13"/>
      <c r="C1633" s="13"/>
      <c r="D1633" s="13"/>
      <c r="E1633" s="7" t="str">
        <f aca="false">IF(D1633="","",IFERROR(INDEX(Materiali!$B:$B,MATCH(D1633,Materiali!$A:$A,0)),"codice?"))</f>
        <v/>
      </c>
      <c r="F1633" s="13"/>
      <c r="G1633" s="13"/>
      <c r="H1633" s="9" t="str">
        <f aca="false">IF(D1633="","",IFERROR(INDEX(Materiali!$C:$C,MATCH(D1633,Materiali!$A:$A,0)),0))</f>
        <v/>
      </c>
      <c r="I1633" s="9" t="str">
        <f aca="false">IF(OR(G1633="",H1633=""),"",IF(F1633="Uscita",-1,1)*G1633*H1633)</f>
        <v/>
      </c>
      <c r="J1633" s="13"/>
      <c r="K1633" s="13"/>
    </row>
    <row r="1634" customFormat="false" ht="15" hidden="false" customHeight="false" outlineLevel="0" collapsed="false">
      <c r="A1634" s="12"/>
      <c r="B1634" s="13"/>
      <c r="C1634" s="13"/>
      <c r="D1634" s="13"/>
      <c r="E1634" s="7" t="str">
        <f aca="false">IF(D1634="","",IFERROR(INDEX(Materiali!$B:$B,MATCH(D1634,Materiali!$A:$A,0)),"codice?"))</f>
        <v/>
      </c>
      <c r="F1634" s="13"/>
      <c r="G1634" s="13"/>
      <c r="H1634" s="9" t="str">
        <f aca="false">IF(D1634="","",IFERROR(INDEX(Materiali!$C:$C,MATCH(D1634,Materiali!$A:$A,0)),0))</f>
        <v/>
      </c>
      <c r="I1634" s="9" t="str">
        <f aca="false">IF(OR(G1634="",H1634=""),"",IF(F1634="Uscita",-1,1)*G1634*H1634)</f>
        <v/>
      </c>
      <c r="J1634" s="13"/>
      <c r="K1634" s="13"/>
    </row>
    <row r="1635" customFormat="false" ht="15" hidden="false" customHeight="false" outlineLevel="0" collapsed="false">
      <c r="A1635" s="12"/>
      <c r="B1635" s="13"/>
      <c r="C1635" s="13"/>
      <c r="D1635" s="13"/>
      <c r="E1635" s="7" t="str">
        <f aca="false">IF(D1635="","",IFERROR(INDEX(Materiali!$B:$B,MATCH(D1635,Materiali!$A:$A,0)),"codice?"))</f>
        <v/>
      </c>
      <c r="F1635" s="13"/>
      <c r="G1635" s="13"/>
      <c r="H1635" s="9" t="str">
        <f aca="false">IF(D1635="","",IFERROR(INDEX(Materiali!$C:$C,MATCH(D1635,Materiali!$A:$A,0)),0))</f>
        <v/>
      </c>
      <c r="I1635" s="9" t="str">
        <f aca="false">IF(OR(G1635="",H1635=""),"",IF(F1635="Uscita",-1,1)*G1635*H1635)</f>
        <v/>
      </c>
      <c r="J1635" s="13"/>
      <c r="K1635" s="13"/>
    </row>
    <row r="1636" customFormat="false" ht="15" hidden="false" customHeight="false" outlineLevel="0" collapsed="false">
      <c r="A1636" s="12"/>
      <c r="B1636" s="13"/>
      <c r="C1636" s="13"/>
      <c r="D1636" s="13"/>
      <c r="E1636" s="7" t="str">
        <f aca="false">IF(D1636="","",IFERROR(INDEX(Materiali!$B:$B,MATCH(D1636,Materiali!$A:$A,0)),"codice?"))</f>
        <v/>
      </c>
      <c r="F1636" s="13"/>
      <c r="G1636" s="13"/>
      <c r="H1636" s="9" t="str">
        <f aca="false">IF(D1636="","",IFERROR(INDEX(Materiali!$C:$C,MATCH(D1636,Materiali!$A:$A,0)),0))</f>
        <v/>
      </c>
      <c r="I1636" s="9" t="str">
        <f aca="false">IF(OR(G1636="",H1636=""),"",IF(F1636="Uscita",-1,1)*G1636*H1636)</f>
        <v/>
      </c>
      <c r="J1636" s="13"/>
      <c r="K1636" s="13"/>
    </row>
    <row r="1637" customFormat="false" ht="15" hidden="false" customHeight="false" outlineLevel="0" collapsed="false">
      <c r="A1637" s="12"/>
      <c r="B1637" s="13"/>
      <c r="C1637" s="13"/>
      <c r="D1637" s="13"/>
      <c r="E1637" s="7" t="str">
        <f aca="false">IF(D1637="","",IFERROR(INDEX(Materiali!$B:$B,MATCH(D1637,Materiali!$A:$A,0)),"codice?"))</f>
        <v/>
      </c>
      <c r="F1637" s="13"/>
      <c r="G1637" s="13"/>
      <c r="H1637" s="9" t="str">
        <f aca="false">IF(D1637="","",IFERROR(INDEX(Materiali!$C:$C,MATCH(D1637,Materiali!$A:$A,0)),0))</f>
        <v/>
      </c>
      <c r="I1637" s="9" t="str">
        <f aca="false">IF(OR(G1637="",H1637=""),"",IF(F1637="Uscita",-1,1)*G1637*H1637)</f>
        <v/>
      </c>
      <c r="J1637" s="13"/>
      <c r="K1637" s="13"/>
    </row>
    <row r="1638" customFormat="false" ht="15" hidden="false" customHeight="false" outlineLevel="0" collapsed="false">
      <c r="A1638" s="12"/>
      <c r="B1638" s="13"/>
      <c r="C1638" s="13"/>
      <c r="D1638" s="13"/>
      <c r="E1638" s="7" t="str">
        <f aca="false">IF(D1638="","",IFERROR(INDEX(Materiali!$B:$B,MATCH(D1638,Materiali!$A:$A,0)),"codice?"))</f>
        <v/>
      </c>
      <c r="F1638" s="13"/>
      <c r="G1638" s="13"/>
      <c r="H1638" s="9" t="str">
        <f aca="false">IF(D1638="","",IFERROR(INDEX(Materiali!$C:$C,MATCH(D1638,Materiali!$A:$A,0)),0))</f>
        <v/>
      </c>
      <c r="I1638" s="9" t="str">
        <f aca="false">IF(OR(G1638="",H1638=""),"",IF(F1638="Uscita",-1,1)*G1638*H1638)</f>
        <v/>
      </c>
      <c r="J1638" s="13"/>
      <c r="K1638" s="13"/>
    </row>
    <row r="1639" customFormat="false" ht="15" hidden="false" customHeight="false" outlineLevel="0" collapsed="false">
      <c r="A1639" s="12"/>
      <c r="B1639" s="13"/>
      <c r="C1639" s="13"/>
      <c r="D1639" s="13"/>
      <c r="E1639" s="7" t="str">
        <f aca="false">IF(D1639="","",IFERROR(INDEX(Materiali!$B:$B,MATCH(D1639,Materiali!$A:$A,0)),"codice?"))</f>
        <v/>
      </c>
      <c r="F1639" s="13"/>
      <c r="G1639" s="13"/>
      <c r="H1639" s="9" t="str">
        <f aca="false">IF(D1639="","",IFERROR(INDEX(Materiali!$C:$C,MATCH(D1639,Materiali!$A:$A,0)),0))</f>
        <v/>
      </c>
      <c r="I1639" s="9" t="str">
        <f aca="false">IF(OR(G1639="",H1639=""),"",IF(F1639="Uscita",-1,1)*G1639*H1639)</f>
        <v/>
      </c>
      <c r="J1639" s="13"/>
      <c r="K1639" s="13"/>
    </row>
    <row r="1640" customFormat="false" ht="15" hidden="false" customHeight="false" outlineLevel="0" collapsed="false">
      <c r="A1640" s="12"/>
      <c r="B1640" s="13"/>
      <c r="C1640" s="13"/>
      <c r="D1640" s="13"/>
      <c r="E1640" s="7" t="str">
        <f aca="false">IF(D1640="","",IFERROR(INDEX(Materiali!$B:$B,MATCH(D1640,Materiali!$A:$A,0)),"codice?"))</f>
        <v/>
      </c>
      <c r="F1640" s="13"/>
      <c r="G1640" s="13"/>
      <c r="H1640" s="9" t="str">
        <f aca="false">IF(D1640="","",IFERROR(INDEX(Materiali!$C:$C,MATCH(D1640,Materiali!$A:$A,0)),0))</f>
        <v/>
      </c>
      <c r="I1640" s="9" t="str">
        <f aca="false">IF(OR(G1640="",H1640=""),"",IF(F1640="Uscita",-1,1)*G1640*H1640)</f>
        <v/>
      </c>
      <c r="J1640" s="13"/>
      <c r="K1640" s="13"/>
    </row>
    <row r="1641" customFormat="false" ht="15" hidden="false" customHeight="false" outlineLevel="0" collapsed="false">
      <c r="A1641" s="12"/>
      <c r="B1641" s="13"/>
      <c r="C1641" s="13"/>
      <c r="D1641" s="13"/>
      <c r="E1641" s="7" t="str">
        <f aca="false">IF(D1641="","",IFERROR(INDEX(Materiali!$B:$B,MATCH(D1641,Materiali!$A:$A,0)),"codice?"))</f>
        <v/>
      </c>
      <c r="F1641" s="13"/>
      <c r="G1641" s="13"/>
      <c r="H1641" s="9" t="str">
        <f aca="false">IF(D1641="","",IFERROR(INDEX(Materiali!$C:$C,MATCH(D1641,Materiali!$A:$A,0)),0))</f>
        <v/>
      </c>
      <c r="I1641" s="9" t="str">
        <f aca="false">IF(OR(G1641="",H1641=""),"",IF(F1641="Uscita",-1,1)*G1641*H1641)</f>
        <v/>
      </c>
      <c r="J1641" s="13"/>
      <c r="K1641" s="13"/>
    </row>
    <row r="1642" customFormat="false" ht="15" hidden="false" customHeight="false" outlineLevel="0" collapsed="false">
      <c r="A1642" s="12"/>
      <c r="B1642" s="13"/>
      <c r="C1642" s="13"/>
      <c r="D1642" s="13"/>
      <c r="E1642" s="7" t="str">
        <f aca="false">IF(D1642="","",IFERROR(INDEX(Materiali!$B:$B,MATCH(D1642,Materiali!$A:$A,0)),"codice?"))</f>
        <v/>
      </c>
      <c r="F1642" s="13"/>
      <c r="G1642" s="13"/>
      <c r="H1642" s="9" t="str">
        <f aca="false">IF(D1642="","",IFERROR(INDEX(Materiali!$C:$C,MATCH(D1642,Materiali!$A:$A,0)),0))</f>
        <v/>
      </c>
      <c r="I1642" s="9" t="str">
        <f aca="false">IF(OR(G1642="",H1642=""),"",IF(F1642="Uscita",-1,1)*G1642*H1642)</f>
        <v/>
      </c>
      <c r="J1642" s="13"/>
      <c r="K1642" s="13"/>
    </row>
    <row r="1643" customFormat="false" ht="15" hidden="false" customHeight="false" outlineLevel="0" collapsed="false">
      <c r="A1643" s="12"/>
      <c r="B1643" s="13"/>
      <c r="C1643" s="13"/>
      <c r="D1643" s="13"/>
      <c r="E1643" s="7" t="str">
        <f aca="false">IF(D1643="","",IFERROR(INDEX(Materiali!$B:$B,MATCH(D1643,Materiali!$A:$A,0)),"codice?"))</f>
        <v/>
      </c>
      <c r="F1643" s="13"/>
      <c r="G1643" s="13"/>
      <c r="H1643" s="9" t="str">
        <f aca="false">IF(D1643="","",IFERROR(INDEX(Materiali!$C:$C,MATCH(D1643,Materiali!$A:$A,0)),0))</f>
        <v/>
      </c>
      <c r="I1643" s="9" t="str">
        <f aca="false">IF(OR(G1643="",H1643=""),"",IF(F1643="Uscita",-1,1)*G1643*H1643)</f>
        <v/>
      </c>
      <c r="J1643" s="13"/>
      <c r="K1643" s="13"/>
    </row>
    <row r="1644" customFormat="false" ht="15" hidden="false" customHeight="false" outlineLevel="0" collapsed="false">
      <c r="A1644" s="12"/>
      <c r="B1644" s="13"/>
      <c r="C1644" s="13"/>
      <c r="D1644" s="13"/>
      <c r="E1644" s="7" t="str">
        <f aca="false">IF(D1644="","",IFERROR(INDEX(Materiali!$B:$B,MATCH(D1644,Materiali!$A:$A,0)),"codice?"))</f>
        <v/>
      </c>
      <c r="F1644" s="13"/>
      <c r="G1644" s="13"/>
      <c r="H1644" s="9" t="str">
        <f aca="false">IF(D1644="","",IFERROR(INDEX(Materiali!$C:$C,MATCH(D1644,Materiali!$A:$A,0)),0))</f>
        <v/>
      </c>
      <c r="I1644" s="9" t="str">
        <f aca="false">IF(OR(G1644="",H1644=""),"",IF(F1644="Uscita",-1,1)*G1644*H1644)</f>
        <v/>
      </c>
      <c r="J1644" s="13"/>
      <c r="K1644" s="13"/>
    </row>
    <row r="1645" customFormat="false" ht="15" hidden="false" customHeight="false" outlineLevel="0" collapsed="false">
      <c r="A1645" s="12"/>
      <c r="B1645" s="13"/>
      <c r="C1645" s="13"/>
      <c r="D1645" s="13"/>
      <c r="E1645" s="7" t="str">
        <f aca="false">IF(D1645="","",IFERROR(INDEX(Materiali!$B:$B,MATCH(D1645,Materiali!$A:$A,0)),"codice?"))</f>
        <v/>
      </c>
      <c r="F1645" s="13"/>
      <c r="G1645" s="13"/>
      <c r="H1645" s="9" t="str">
        <f aca="false">IF(D1645="","",IFERROR(INDEX(Materiali!$C:$C,MATCH(D1645,Materiali!$A:$A,0)),0))</f>
        <v/>
      </c>
      <c r="I1645" s="9" t="str">
        <f aca="false">IF(OR(G1645="",H1645=""),"",IF(F1645="Uscita",-1,1)*G1645*H1645)</f>
        <v/>
      </c>
      <c r="J1645" s="13"/>
      <c r="K1645" s="13"/>
    </row>
    <row r="1646" customFormat="false" ht="15" hidden="false" customHeight="false" outlineLevel="0" collapsed="false">
      <c r="A1646" s="12"/>
      <c r="B1646" s="13"/>
      <c r="C1646" s="13"/>
      <c r="D1646" s="13"/>
      <c r="E1646" s="7" t="str">
        <f aca="false">IF(D1646="","",IFERROR(INDEX(Materiali!$B:$B,MATCH(D1646,Materiali!$A:$A,0)),"codice?"))</f>
        <v/>
      </c>
      <c r="F1646" s="13"/>
      <c r="G1646" s="13"/>
      <c r="H1646" s="9" t="str">
        <f aca="false">IF(D1646="","",IFERROR(INDEX(Materiali!$C:$C,MATCH(D1646,Materiali!$A:$A,0)),0))</f>
        <v/>
      </c>
      <c r="I1646" s="9" t="str">
        <f aca="false">IF(OR(G1646="",H1646=""),"",IF(F1646="Uscita",-1,1)*G1646*H1646)</f>
        <v/>
      </c>
      <c r="J1646" s="13"/>
      <c r="K1646" s="13"/>
    </row>
    <row r="1647" customFormat="false" ht="15" hidden="false" customHeight="false" outlineLevel="0" collapsed="false">
      <c r="A1647" s="12"/>
      <c r="B1647" s="13"/>
      <c r="C1647" s="13"/>
      <c r="D1647" s="13"/>
      <c r="E1647" s="7" t="str">
        <f aca="false">IF(D1647="","",IFERROR(INDEX(Materiali!$B:$B,MATCH(D1647,Materiali!$A:$A,0)),"codice?"))</f>
        <v/>
      </c>
      <c r="F1647" s="13"/>
      <c r="G1647" s="13"/>
      <c r="H1647" s="9" t="str">
        <f aca="false">IF(D1647="","",IFERROR(INDEX(Materiali!$C:$C,MATCH(D1647,Materiali!$A:$A,0)),0))</f>
        <v/>
      </c>
      <c r="I1647" s="9" t="str">
        <f aca="false">IF(OR(G1647="",H1647=""),"",IF(F1647="Uscita",-1,1)*G1647*H1647)</f>
        <v/>
      </c>
      <c r="J1647" s="13"/>
      <c r="K1647" s="13"/>
    </row>
    <row r="1648" customFormat="false" ht="15" hidden="false" customHeight="false" outlineLevel="0" collapsed="false">
      <c r="A1648" s="12"/>
      <c r="B1648" s="13"/>
      <c r="C1648" s="13"/>
      <c r="D1648" s="13"/>
      <c r="E1648" s="7" t="str">
        <f aca="false">IF(D1648="","",IFERROR(INDEX(Materiali!$B:$B,MATCH(D1648,Materiali!$A:$A,0)),"codice?"))</f>
        <v/>
      </c>
      <c r="F1648" s="13"/>
      <c r="G1648" s="13"/>
      <c r="H1648" s="9" t="str">
        <f aca="false">IF(D1648="","",IFERROR(INDEX(Materiali!$C:$C,MATCH(D1648,Materiali!$A:$A,0)),0))</f>
        <v/>
      </c>
      <c r="I1648" s="9" t="str">
        <f aca="false">IF(OR(G1648="",H1648=""),"",IF(F1648="Uscita",-1,1)*G1648*H1648)</f>
        <v/>
      </c>
      <c r="J1648" s="13"/>
      <c r="K1648" s="13"/>
    </row>
    <row r="1649" customFormat="false" ht="15" hidden="false" customHeight="false" outlineLevel="0" collapsed="false">
      <c r="A1649" s="12"/>
      <c r="B1649" s="13"/>
      <c r="C1649" s="13"/>
      <c r="D1649" s="13"/>
      <c r="E1649" s="7" t="str">
        <f aca="false">IF(D1649="","",IFERROR(INDEX(Materiali!$B:$B,MATCH(D1649,Materiali!$A:$A,0)),"codice?"))</f>
        <v/>
      </c>
      <c r="F1649" s="13"/>
      <c r="G1649" s="13"/>
      <c r="H1649" s="9" t="str">
        <f aca="false">IF(D1649="","",IFERROR(INDEX(Materiali!$C:$C,MATCH(D1649,Materiali!$A:$A,0)),0))</f>
        <v/>
      </c>
      <c r="I1649" s="9" t="str">
        <f aca="false">IF(OR(G1649="",H1649=""),"",IF(F1649="Uscita",-1,1)*G1649*H1649)</f>
        <v/>
      </c>
      <c r="J1649" s="13"/>
      <c r="K1649" s="13"/>
    </row>
    <row r="1650" customFormat="false" ht="15" hidden="false" customHeight="false" outlineLevel="0" collapsed="false">
      <c r="A1650" s="12"/>
      <c r="B1650" s="13"/>
      <c r="C1650" s="13"/>
      <c r="D1650" s="13"/>
      <c r="E1650" s="7" t="str">
        <f aca="false">IF(D1650="","",IFERROR(INDEX(Materiali!$B:$B,MATCH(D1650,Materiali!$A:$A,0)),"codice?"))</f>
        <v/>
      </c>
      <c r="F1650" s="13"/>
      <c r="G1650" s="13"/>
      <c r="H1650" s="9" t="str">
        <f aca="false">IF(D1650="","",IFERROR(INDEX(Materiali!$C:$C,MATCH(D1650,Materiali!$A:$A,0)),0))</f>
        <v/>
      </c>
      <c r="I1650" s="9" t="str">
        <f aca="false">IF(OR(G1650="",H1650=""),"",IF(F1650="Uscita",-1,1)*G1650*H1650)</f>
        <v/>
      </c>
      <c r="J1650" s="13"/>
      <c r="K1650" s="13"/>
    </row>
    <row r="1651" customFormat="false" ht="15" hidden="false" customHeight="false" outlineLevel="0" collapsed="false">
      <c r="A1651" s="12"/>
      <c r="B1651" s="13"/>
      <c r="C1651" s="13"/>
      <c r="D1651" s="13"/>
      <c r="E1651" s="7" t="str">
        <f aca="false">IF(D1651="","",IFERROR(INDEX(Materiali!$B:$B,MATCH(D1651,Materiali!$A:$A,0)),"codice?"))</f>
        <v/>
      </c>
      <c r="F1651" s="13"/>
      <c r="G1651" s="13"/>
      <c r="H1651" s="9" t="str">
        <f aca="false">IF(D1651="","",IFERROR(INDEX(Materiali!$C:$C,MATCH(D1651,Materiali!$A:$A,0)),0))</f>
        <v/>
      </c>
      <c r="I1651" s="9" t="str">
        <f aca="false">IF(OR(G1651="",H1651=""),"",IF(F1651="Uscita",-1,1)*G1651*H1651)</f>
        <v/>
      </c>
      <c r="J1651" s="13"/>
      <c r="K1651" s="13"/>
    </row>
    <row r="1652" customFormat="false" ht="15" hidden="false" customHeight="false" outlineLevel="0" collapsed="false">
      <c r="A1652" s="12"/>
      <c r="B1652" s="13"/>
      <c r="C1652" s="13"/>
      <c r="D1652" s="13"/>
      <c r="E1652" s="7" t="str">
        <f aca="false">IF(D1652="","",IFERROR(INDEX(Materiali!$B:$B,MATCH(D1652,Materiali!$A:$A,0)),"codice?"))</f>
        <v/>
      </c>
      <c r="F1652" s="13"/>
      <c r="G1652" s="13"/>
      <c r="H1652" s="9" t="str">
        <f aca="false">IF(D1652="","",IFERROR(INDEX(Materiali!$C:$C,MATCH(D1652,Materiali!$A:$A,0)),0))</f>
        <v/>
      </c>
      <c r="I1652" s="9" t="str">
        <f aca="false">IF(OR(G1652="",H1652=""),"",IF(F1652="Uscita",-1,1)*G1652*H1652)</f>
        <v/>
      </c>
      <c r="J1652" s="13"/>
      <c r="K1652" s="13"/>
    </row>
    <row r="1653" customFormat="false" ht="15" hidden="false" customHeight="false" outlineLevel="0" collapsed="false">
      <c r="A1653" s="12"/>
      <c r="B1653" s="13"/>
      <c r="C1653" s="13"/>
      <c r="D1653" s="13"/>
      <c r="E1653" s="7" t="str">
        <f aca="false">IF(D1653="","",IFERROR(INDEX(Materiali!$B:$B,MATCH(D1653,Materiali!$A:$A,0)),"codice?"))</f>
        <v/>
      </c>
      <c r="F1653" s="13"/>
      <c r="G1653" s="13"/>
      <c r="H1653" s="9" t="str">
        <f aca="false">IF(D1653="","",IFERROR(INDEX(Materiali!$C:$C,MATCH(D1653,Materiali!$A:$A,0)),0))</f>
        <v/>
      </c>
      <c r="I1653" s="9" t="str">
        <f aca="false">IF(OR(G1653="",H1653=""),"",IF(F1653="Uscita",-1,1)*G1653*H1653)</f>
        <v/>
      </c>
      <c r="J1653" s="13"/>
      <c r="K1653" s="13"/>
    </row>
    <row r="1654" customFormat="false" ht="15" hidden="false" customHeight="false" outlineLevel="0" collapsed="false">
      <c r="A1654" s="12"/>
      <c r="B1654" s="13"/>
      <c r="C1654" s="13"/>
      <c r="D1654" s="13"/>
      <c r="E1654" s="7" t="str">
        <f aca="false">IF(D1654="","",IFERROR(INDEX(Materiali!$B:$B,MATCH(D1654,Materiali!$A:$A,0)),"codice?"))</f>
        <v/>
      </c>
      <c r="F1654" s="13"/>
      <c r="G1654" s="13"/>
      <c r="H1654" s="9" t="str">
        <f aca="false">IF(D1654="","",IFERROR(INDEX(Materiali!$C:$C,MATCH(D1654,Materiali!$A:$A,0)),0))</f>
        <v/>
      </c>
      <c r="I1654" s="9" t="str">
        <f aca="false">IF(OR(G1654="",H1654=""),"",IF(F1654="Uscita",-1,1)*G1654*H1654)</f>
        <v/>
      </c>
      <c r="J1654" s="13"/>
      <c r="K1654" s="13"/>
    </row>
    <row r="1655" customFormat="false" ht="15" hidden="false" customHeight="false" outlineLevel="0" collapsed="false">
      <c r="A1655" s="12"/>
      <c r="B1655" s="13"/>
      <c r="C1655" s="13"/>
      <c r="D1655" s="13"/>
      <c r="E1655" s="7" t="str">
        <f aca="false">IF(D1655="","",IFERROR(INDEX(Materiali!$B:$B,MATCH(D1655,Materiali!$A:$A,0)),"codice?"))</f>
        <v/>
      </c>
      <c r="F1655" s="13"/>
      <c r="G1655" s="13"/>
      <c r="H1655" s="9" t="str">
        <f aca="false">IF(D1655="","",IFERROR(INDEX(Materiali!$C:$C,MATCH(D1655,Materiali!$A:$A,0)),0))</f>
        <v/>
      </c>
      <c r="I1655" s="9" t="str">
        <f aca="false">IF(OR(G1655="",H1655=""),"",IF(F1655="Uscita",-1,1)*G1655*H1655)</f>
        <v/>
      </c>
      <c r="J1655" s="13"/>
      <c r="K1655" s="13"/>
    </row>
    <row r="1656" customFormat="false" ht="15" hidden="false" customHeight="false" outlineLevel="0" collapsed="false">
      <c r="A1656" s="12"/>
      <c r="B1656" s="13"/>
      <c r="C1656" s="13"/>
      <c r="D1656" s="13"/>
      <c r="E1656" s="7" t="str">
        <f aca="false">IF(D1656="","",IFERROR(INDEX(Materiali!$B:$B,MATCH(D1656,Materiali!$A:$A,0)),"codice?"))</f>
        <v/>
      </c>
      <c r="F1656" s="13"/>
      <c r="G1656" s="13"/>
      <c r="H1656" s="9" t="str">
        <f aca="false">IF(D1656="","",IFERROR(INDEX(Materiali!$C:$C,MATCH(D1656,Materiali!$A:$A,0)),0))</f>
        <v/>
      </c>
      <c r="I1656" s="9" t="str">
        <f aca="false">IF(OR(G1656="",H1656=""),"",IF(F1656="Uscita",-1,1)*G1656*H1656)</f>
        <v/>
      </c>
      <c r="J1656" s="13"/>
      <c r="K1656" s="13"/>
    </row>
    <row r="1657" customFormat="false" ht="15" hidden="false" customHeight="false" outlineLevel="0" collapsed="false">
      <c r="A1657" s="12"/>
      <c r="B1657" s="13"/>
      <c r="C1657" s="13"/>
      <c r="D1657" s="13"/>
      <c r="E1657" s="7" t="str">
        <f aca="false">IF(D1657="","",IFERROR(INDEX(Materiali!$B:$B,MATCH(D1657,Materiali!$A:$A,0)),"codice?"))</f>
        <v/>
      </c>
      <c r="F1657" s="13"/>
      <c r="G1657" s="13"/>
      <c r="H1657" s="9" t="str">
        <f aca="false">IF(D1657="","",IFERROR(INDEX(Materiali!$C:$C,MATCH(D1657,Materiali!$A:$A,0)),0))</f>
        <v/>
      </c>
      <c r="I1657" s="9" t="str">
        <f aca="false">IF(OR(G1657="",H1657=""),"",IF(F1657="Uscita",-1,1)*G1657*H1657)</f>
        <v/>
      </c>
      <c r="J1657" s="13"/>
      <c r="K1657" s="13"/>
    </row>
    <row r="1658" customFormat="false" ht="15" hidden="false" customHeight="false" outlineLevel="0" collapsed="false">
      <c r="A1658" s="12"/>
      <c r="B1658" s="13"/>
      <c r="C1658" s="13"/>
      <c r="D1658" s="13"/>
      <c r="E1658" s="7" t="str">
        <f aca="false">IF(D1658="","",IFERROR(INDEX(Materiali!$B:$B,MATCH(D1658,Materiali!$A:$A,0)),"codice?"))</f>
        <v/>
      </c>
      <c r="F1658" s="13"/>
      <c r="G1658" s="13"/>
      <c r="H1658" s="9" t="str">
        <f aca="false">IF(D1658="","",IFERROR(INDEX(Materiali!$C:$C,MATCH(D1658,Materiali!$A:$A,0)),0))</f>
        <v/>
      </c>
      <c r="I1658" s="9" t="str">
        <f aca="false">IF(OR(G1658="",H1658=""),"",IF(F1658="Uscita",-1,1)*G1658*H1658)</f>
        <v/>
      </c>
      <c r="J1658" s="13"/>
      <c r="K1658" s="13"/>
    </row>
    <row r="1659" customFormat="false" ht="15" hidden="false" customHeight="false" outlineLevel="0" collapsed="false">
      <c r="A1659" s="12"/>
      <c r="B1659" s="13"/>
      <c r="C1659" s="13"/>
      <c r="D1659" s="13"/>
      <c r="E1659" s="7" t="str">
        <f aca="false">IF(D1659="","",IFERROR(INDEX(Materiali!$B:$B,MATCH(D1659,Materiali!$A:$A,0)),"codice?"))</f>
        <v/>
      </c>
      <c r="F1659" s="13"/>
      <c r="G1659" s="13"/>
      <c r="H1659" s="9" t="str">
        <f aca="false">IF(D1659="","",IFERROR(INDEX(Materiali!$C:$C,MATCH(D1659,Materiali!$A:$A,0)),0))</f>
        <v/>
      </c>
      <c r="I1659" s="9" t="str">
        <f aca="false">IF(OR(G1659="",H1659=""),"",IF(F1659="Uscita",-1,1)*G1659*H1659)</f>
        <v/>
      </c>
      <c r="J1659" s="13"/>
      <c r="K1659" s="13"/>
    </row>
    <row r="1660" customFormat="false" ht="15" hidden="false" customHeight="false" outlineLevel="0" collapsed="false">
      <c r="A1660" s="12"/>
      <c r="B1660" s="13"/>
      <c r="C1660" s="13"/>
      <c r="D1660" s="13"/>
      <c r="E1660" s="7" t="str">
        <f aca="false">IF(D1660="","",IFERROR(INDEX(Materiali!$B:$B,MATCH(D1660,Materiali!$A:$A,0)),"codice?"))</f>
        <v/>
      </c>
      <c r="F1660" s="13"/>
      <c r="G1660" s="13"/>
      <c r="H1660" s="9" t="str">
        <f aca="false">IF(D1660="","",IFERROR(INDEX(Materiali!$C:$C,MATCH(D1660,Materiali!$A:$A,0)),0))</f>
        <v/>
      </c>
      <c r="I1660" s="9" t="str">
        <f aca="false">IF(OR(G1660="",H1660=""),"",IF(F1660="Uscita",-1,1)*G1660*H1660)</f>
        <v/>
      </c>
      <c r="J1660" s="13"/>
      <c r="K1660" s="13"/>
    </row>
    <row r="1661" customFormat="false" ht="15" hidden="false" customHeight="false" outlineLevel="0" collapsed="false">
      <c r="A1661" s="12"/>
      <c r="B1661" s="13"/>
      <c r="C1661" s="13"/>
      <c r="D1661" s="13"/>
      <c r="E1661" s="7" t="str">
        <f aca="false">IF(D1661="","",IFERROR(INDEX(Materiali!$B:$B,MATCH(D1661,Materiali!$A:$A,0)),"codice?"))</f>
        <v/>
      </c>
      <c r="F1661" s="13"/>
      <c r="G1661" s="13"/>
      <c r="H1661" s="9" t="str">
        <f aca="false">IF(D1661="","",IFERROR(INDEX(Materiali!$C:$C,MATCH(D1661,Materiali!$A:$A,0)),0))</f>
        <v/>
      </c>
      <c r="I1661" s="9" t="str">
        <f aca="false">IF(OR(G1661="",H1661=""),"",IF(F1661="Uscita",-1,1)*G1661*H1661)</f>
        <v/>
      </c>
      <c r="J1661" s="13"/>
      <c r="K1661" s="13"/>
    </row>
    <row r="1662" customFormat="false" ht="15" hidden="false" customHeight="false" outlineLevel="0" collapsed="false">
      <c r="A1662" s="12"/>
      <c r="B1662" s="13"/>
      <c r="C1662" s="13"/>
      <c r="D1662" s="13"/>
      <c r="E1662" s="7" t="str">
        <f aca="false">IF(D1662="","",IFERROR(INDEX(Materiali!$B:$B,MATCH(D1662,Materiali!$A:$A,0)),"codice?"))</f>
        <v/>
      </c>
      <c r="F1662" s="13"/>
      <c r="G1662" s="13"/>
      <c r="H1662" s="9" t="str">
        <f aca="false">IF(D1662="","",IFERROR(INDEX(Materiali!$C:$C,MATCH(D1662,Materiali!$A:$A,0)),0))</f>
        <v/>
      </c>
      <c r="I1662" s="9" t="str">
        <f aca="false">IF(OR(G1662="",H1662=""),"",IF(F1662="Uscita",-1,1)*G1662*H1662)</f>
        <v/>
      </c>
      <c r="J1662" s="13"/>
      <c r="K1662" s="13"/>
    </row>
    <row r="1663" customFormat="false" ht="15" hidden="false" customHeight="false" outlineLevel="0" collapsed="false">
      <c r="A1663" s="12"/>
      <c r="B1663" s="13"/>
      <c r="C1663" s="13"/>
      <c r="D1663" s="13"/>
      <c r="E1663" s="7" t="str">
        <f aca="false">IF(D1663="","",IFERROR(INDEX(Materiali!$B:$B,MATCH(D1663,Materiali!$A:$A,0)),"codice?"))</f>
        <v/>
      </c>
      <c r="F1663" s="13"/>
      <c r="G1663" s="13"/>
      <c r="H1663" s="9" t="str">
        <f aca="false">IF(D1663="","",IFERROR(INDEX(Materiali!$C:$C,MATCH(D1663,Materiali!$A:$A,0)),0))</f>
        <v/>
      </c>
      <c r="I1663" s="9" t="str">
        <f aca="false">IF(OR(G1663="",H1663=""),"",IF(F1663="Uscita",-1,1)*G1663*H1663)</f>
        <v/>
      </c>
      <c r="J1663" s="13"/>
      <c r="K1663" s="13"/>
    </row>
    <row r="1664" customFormat="false" ht="15" hidden="false" customHeight="false" outlineLevel="0" collapsed="false">
      <c r="A1664" s="12"/>
      <c r="B1664" s="13"/>
      <c r="C1664" s="13"/>
      <c r="D1664" s="13"/>
      <c r="E1664" s="7" t="str">
        <f aca="false">IF(D1664="","",IFERROR(INDEX(Materiali!$B:$B,MATCH(D1664,Materiali!$A:$A,0)),"codice?"))</f>
        <v/>
      </c>
      <c r="F1664" s="13"/>
      <c r="G1664" s="13"/>
      <c r="H1664" s="9" t="str">
        <f aca="false">IF(D1664="","",IFERROR(INDEX(Materiali!$C:$C,MATCH(D1664,Materiali!$A:$A,0)),0))</f>
        <v/>
      </c>
      <c r="I1664" s="9" t="str">
        <f aca="false">IF(OR(G1664="",H1664=""),"",IF(F1664="Uscita",-1,1)*G1664*H1664)</f>
        <v/>
      </c>
      <c r="J1664" s="13"/>
      <c r="K1664" s="13"/>
    </row>
    <row r="1665" customFormat="false" ht="15" hidden="false" customHeight="false" outlineLevel="0" collapsed="false">
      <c r="A1665" s="12"/>
      <c r="B1665" s="13"/>
      <c r="C1665" s="13"/>
      <c r="D1665" s="13"/>
      <c r="E1665" s="7" t="str">
        <f aca="false">IF(D1665="","",IFERROR(INDEX(Materiali!$B:$B,MATCH(D1665,Materiali!$A:$A,0)),"codice?"))</f>
        <v/>
      </c>
      <c r="F1665" s="13"/>
      <c r="G1665" s="13"/>
      <c r="H1665" s="9" t="str">
        <f aca="false">IF(D1665="","",IFERROR(INDEX(Materiali!$C:$C,MATCH(D1665,Materiali!$A:$A,0)),0))</f>
        <v/>
      </c>
      <c r="I1665" s="9" t="str">
        <f aca="false">IF(OR(G1665="",H1665=""),"",IF(F1665="Uscita",-1,1)*G1665*H1665)</f>
        <v/>
      </c>
      <c r="J1665" s="13"/>
      <c r="K1665" s="13"/>
    </row>
    <row r="1666" customFormat="false" ht="15" hidden="false" customHeight="false" outlineLevel="0" collapsed="false">
      <c r="A1666" s="12"/>
      <c r="B1666" s="13"/>
      <c r="C1666" s="13"/>
      <c r="D1666" s="13"/>
      <c r="E1666" s="7" t="str">
        <f aca="false">IF(D1666="","",IFERROR(INDEX(Materiali!$B:$B,MATCH(D1666,Materiali!$A:$A,0)),"codice?"))</f>
        <v/>
      </c>
      <c r="F1666" s="13"/>
      <c r="G1666" s="13"/>
      <c r="H1666" s="9" t="str">
        <f aca="false">IF(D1666="","",IFERROR(INDEX(Materiali!$C:$C,MATCH(D1666,Materiali!$A:$A,0)),0))</f>
        <v/>
      </c>
      <c r="I1666" s="9" t="str">
        <f aca="false">IF(OR(G1666="",H1666=""),"",IF(F1666="Uscita",-1,1)*G1666*H1666)</f>
        <v/>
      </c>
      <c r="J1666" s="13"/>
      <c r="K1666" s="13"/>
    </row>
    <row r="1667" customFormat="false" ht="15" hidden="false" customHeight="false" outlineLevel="0" collapsed="false">
      <c r="A1667" s="12"/>
      <c r="B1667" s="13"/>
      <c r="C1667" s="13"/>
      <c r="D1667" s="13"/>
      <c r="E1667" s="7" t="str">
        <f aca="false">IF(D1667="","",IFERROR(INDEX(Materiali!$B:$B,MATCH(D1667,Materiali!$A:$A,0)),"codice?"))</f>
        <v/>
      </c>
      <c r="F1667" s="13"/>
      <c r="G1667" s="13"/>
      <c r="H1667" s="9" t="str">
        <f aca="false">IF(D1667="","",IFERROR(INDEX(Materiali!$C:$C,MATCH(D1667,Materiali!$A:$A,0)),0))</f>
        <v/>
      </c>
      <c r="I1667" s="9" t="str">
        <f aca="false">IF(OR(G1667="",H1667=""),"",IF(F1667="Uscita",-1,1)*G1667*H1667)</f>
        <v/>
      </c>
      <c r="J1667" s="13"/>
      <c r="K1667" s="13"/>
    </row>
    <row r="1668" customFormat="false" ht="15" hidden="false" customHeight="false" outlineLevel="0" collapsed="false">
      <c r="A1668" s="12"/>
      <c r="B1668" s="13"/>
      <c r="C1668" s="13"/>
      <c r="D1668" s="13"/>
      <c r="E1668" s="7" t="str">
        <f aca="false">IF(D1668="","",IFERROR(INDEX(Materiali!$B:$B,MATCH(D1668,Materiali!$A:$A,0)),"codice?"))</f>
        <v/>
      </c>
      <c r="F1668" s="13"/>
      <c r="G1668" s="13"/>
      <c r="H1668" s="9" t="str">
        <f aca="false">IF(D1668="","",IFERROR(INDEX(Materiali!$C:$C,MATCH(D1668,Materiali!$A:$A,0)),0))</f>
        <v/>
      </c>
      <c r="I1668" s="9" t="str">
        <f aca="false">IF(OR(G1668="",H1668=""),"",IF(F1668="Uscita",-1,1)*G1668*H1668)</f>
        <v/>
      </c>
      <c r="J1668" s="13"/>
      <c r="K1668" s="13"/>
    </row>
    <row r="1669" customFormat="false" ht="15" hidden="false" customHeight="false" outlineLevel="0" collapsed="false">
      <c r="A1669" s="12"/>
      <c r="B1669" s="13"/>
      <c r="C1669" s="13"/>
      <c r="D1669" s="13"/>
      <c r="E1669" s="7" t="str">
        <f aca="false">IF(D1669="","",IFERROR(INDEX(Materiali!$B:$B,MATCH(D1669,Materiali!$A:$A,0)),"codice?"))</f>
        <v/>
      </c>
      <c r="F1669" s="13"/>
      <c r="G1669" s="13"/>
      <c r="H1669" s="9" t="str">
        <f aca="false">IF(D1669="","",IFERROR(INDEX(Materiali!$C:$C,MATCH(D1669,Materiali!$A:$A,0)),0))</f>
        <v/>
      </c>
      <c r="I1669" s="9" t="str">
        <f aca="false">IF(OR(G1669="",H1669=""),"",IF(F1669="Uscita",-1,1)*G1669*H1669)</f>
        <v/>
      </c>
      <c r="J1669" s="13"/>
      <c r="K1669" s="13"/>
    </row>
    <row r="1670" customFormat="false" ht="15" hidden="false" customHeight="false" outlineLevel="0" collapsed="false">
      <c r="A1670" s="12"/>
      <c r="B1670" s="13"/>
      <c r="C1670" s="13"/>
      <c r="D1670" s="13"/>
      <c r="E1670" s="7" t="str">
        <f aca="false">IF(D1670="","",IFERROR(INDEX(Materiali!$B:$B,MATCH(D1670,Materiali!$A:$A,0)),"codice?"))</f>
        <v/>
      </c>
      <c r="F1670" s="13"/>
      <c r="G1670" s="13"/>
      <c r="H1670" s="9" t="str">
        <f aca="false">IF(D1670="","",IFERROR(INDEX(Materiali!$C:$C,MATCH(D1670,Materiali!$A:$A,0)),0))</f>
        <v/>
      </c>
      <c r="I1670" s="9" t="str">
        <f aca="false">IF(OR(G1670="",H1670=""),"",IF(F1670="Uscita",-1,1)*G1670*H1670)</f>
        <v/>
      </c>
      <c r="J1670" s="13"/>
      <c r="K1670" s="13"/>
    </row>
    <row r="1671" customFormat="false" ht="15" hidden="false" customHeight="false" outlineLevel="0" collapsed="false">
      <c r="A1671" s="12"/>
      <c r="B1671" s="13"/>
      <c r="C1671" s="13"/>
      <c r="D1671" s="13"/>
      <c r="E1671" s="7" t="str">
        <f aca="false">IF(D1671="","",IFERROR(INDEX(Materiali!$B:$B,MATCH(D1671,Materiali!$A:$A,0)),"codice?"))</f>
        <v/>
      </c>
      <c r="F1671" s="13"/>
      <c r="G1671" s="13"/>
      <c r="H1671" s="9" t="str">
        <f aca="false">IF(D1671="","",IFERROR(INDEX(Materiali!$C:$C,MATCH(D1671,Materiali!$A:$A,0)),0))</f>
        <v/>
      </c>
      <c r="I1671" s="9" t="str">
        <f aca="false">IF(OR(G1671="",H1671=""),"",IF(F1671="Uscita",-1,1)*G1671*H1671)</f>
        <v/>
      </c>
      <c r="J1671" s="13"/>
      <c r="K1671" s="13"/>
    </row>
    <row r="1672" customFormat="false" ht="15" hidden="false" customHeight="false" outlineLevel="0" collapsed="false">
      <c r="A1672" s="12"/>
      <c r="B1672" s="13"/>
      <c r="C1672" s="13"/>
      <c r="D1672" s="13"/>
      <c r="E1672" s="7" t="str">
        <f aca="false">IF(D1672="","",IFERROR(INDEX(Materiali!$B:$B,MATCH(D1672,Materiali!$A:$A,0)),"codice?"))</f>
        <v/>
      </c>
      <c r="F1672" s="13"/>
      <c r="G1672" s="13"/>
      <c r="H1672" s="9" t="str">
        <f aca="false">IF(D1672="","",IFERROR(INDEX(Materiali!$C:$C,MATCH(D1672,Materiali!$A:$A,0)),0))</f>
        <v/>
      </c>
      <c r="I1672" s="9" t="str">
        <f aca="false">IF(OR(G1672="",H1672=""),"",IF(F1672="Uscita",-1,1)*G1672*H1672)</f>
        <v/>
      </c>
      <c r="J1672" s="13"/>
      <c r="K1672" s="13"/>
    </row>
    <row r="1673" customFormat="false" ht="15" hidden="false" customHeight="false" outlineLevel="0" collapsed="false">
      <c r="A1673" s="12"/>
      <c r="B1673" s="13"/>
      <c r="C1673" s="13"/>
      <c r="D1673" s="13"/>
      <c r="E1673" s="7" t="str">
        <f aca="false">IF(D1673="","",IFERROR(INDEX(Materiali!$B:$B,MATCH(D1673,Materiali!$A:$A,0)),"codice?"))</f>
        <v/>
      </c>
      <c r="F1673" s="13"/>
      <c r="G1673" s="13"/>
      <c r="H1673" s="9" t="str">
        <f aca="false">IF(D1673="","",IFERROR(INDEX(Materiali!$C:$C,MATCH(D1673,Materiali!$A:$A,0)),0))</f>
        <v/>
      </c>
      <c r="I1673" s="9" t="str">
        <f aca="false">IF(OR(G1673="",H1673=""),"",IF(F1673="Uscita",-1,1)*G1673*H1673)</f>
        <v/>
      </c>
      <c r="J1673" s="13"/>
      <c r="K1673" s="13"/>
    </row>
    <row r="1674" customFormat="false" ht="15" hidden="false" customHeight="false" outlineLevel="0" collapsed="false">
      <c r="A1674" s="12"/>
      <c r="B1674" s="13"/>
      <c r="C1674" s="13"/>
      <c r="D1674" s="13"/>
      <c r="E1674" s="7" t="str">
        <f aca="false">IF(D1674="","",IFERROR(INDEX(Materiali!$B:$B,MATCH(D1674,Materiali!$A:$A,0)),"codice?"))</f>
        <v/>
      </c>
      <c r="F1674" s="13"/>
      <c r="G1674" s="13"/>
      <c r="H1674" s="9" t="str">
        <f aca="false">IF(D1674="","",IFERROR(INDEX(Materiali!$C:$C,MATCH(D1674,Materiali!$A:$A,0)),0))</f>
        <v/>
      </c>
      <c r="I1674" s="9" t="str">
        <f aca="false">IF(OR(G1674="",H1674=""),"",IF(F1674="Uscita",-1,1)*G1674*H1674)</f>
        <v/>
      </c>
      <c r="J1674" s="13"/>
      <c r="K1674" s="13"/>
    </row>
    <row r="1675" customFormat="false" ht="15" hidden="false" customHeight="false" outlineLevel="0" collapsed="false">
      <c r="A1675" s="12"/>
      <c r="B1675" s="13"/>
      <c r="C1675" s="13"/>
      <c r="D1675" s="13"/>
      <c r="E1675" s="7" t="str">
        <f aca="false">IF(D1675="","",IFERROR(INDEX(Materiali!$B:$B,MATCH(D1675,Materiali!$A:$A,0)),"codice?"))</f>
        <v/>
      </c>
      <c r="F1675" s="13"/>
      <c r="G1675" s="13"/>
      <c r="H1675" s="9" t="str">
        <f aca="false">IF(D1675="","",IFERROR(INDEX(Materiali!$C:$C,MATCH(D1675,Materiali!$A:$A,0)),0))</f>
        <v/>
      </c>
      <c r="I1675" s="9" t="str">
        <f aca="false">IF(OR(G1675="",H1675=""),"",IF(F1675="Uscita",-1,1)*G1675*H1675)</f>
        <v/>
      </c>
      <c r="J1675" s="13"/>
      <c r="K1675" s="13"/>
    </row>
    <row r="1676" customFormat="false" ht="15" hidden="false" customHeight="false" outlineLevel="0" collapsed="false">
      <c r="A1676" s="12"/>
      <c r="B1676" s="13"/>
      <c r="C1676" s="13"/>
      <c r="D1676" s="13"/>
      <c r="E1676" s="7" t="str">
        <f aca="false">IF(D1676="","",IFERROR(INDEX(Materiali!$B:$B,MATCH(D1676,Materiali!$A:$A,0)),"codice?"))</f>
        <v/>
      </c>
      <c r="F1676" s="13"/>
      <c r="G1676" s="13"/>
      <c r="H1676" s="9" t="str">
        <f aca="false">IF(D1676="","",IFERROR(INDEX(Materiali!$C:$C,MATCH(D1676,Materiali!$A:$A,0)),0))</f>
        <v/>
      </c>
      <c r="I1676" s="9" t="str">
        <f aca="false">IF(OR(G1676="",H1676=""),"",IF(F1676="Uscita",-1,1)*G1676*H1676)</f>
        <v/>
      </c>
      <c r="J1676" s="13"/>
      <c r="K1676" s="13"/>
    </row>
    <row r="1677" customFormat="false" ht="15" hidden="false" customHeight="false" outlineLevel="0" collapsed="false">
      <c r="A1677" s="12"/>
      <c r="B1677" s="13"/>
      <c r="C1677" s="13"/>
      <c r="D1677" s="13"/>
      <c r="E1677" s="7" t="str">
        <f aca="false">IF(D1677="","",IFERROR(INDEX(Materiali!$B:$B,MATCH(D1677,Materiali!$A:$A,0)),"codice?"))</f>
        <v/>
      </c>
      <c r="F1677" s="13"/>
      <c r="G1677" s="13"/>
      <c r="H1677" s="9" t="str">
        <f aca="false">IF(D1677="","",IFERROR(INDEX(Materiali!$C:$C,MATCH(D1677,Materiali!$A:$A,0)),0))</f>
        <v/>
      </c>
      <c r="I1677" s="9" t="str">
        <f aca="false">IF(OR(G1677="",H1677=""),"",IF(F1677="Uscita",-1,1)*G1677*H1677)</f>
        <v/>
      </c>
      <c r="J1677" s="13"/>
      <c r="K1677" s="13"/>
    </row>
    <row r="1678" customFormat="false" ht="15" hidden="false" customHeight="false" outlineLevel="0" collapsed="false">
      <c r="A1678" s="12"/>
      <c r="B1678" s="13"/>
      <c r="C1678" s="13"/>
      <c r="D1678" s="13"/>
      <c r="E1678" s="7" t="str">
        <f aca="false">IF(D1678="","",IFERROR(INDEX(Materiali!$B:$B,MATCH(D1678,Materiali!$A:$A,0)),"codice?"))</f>
        <v/>
      </c>
      <c r="F1678" s="13"/>
      <c r="G1678" s="13"/>
      <c r="H1678" s="9" t="str">
        <f aca="false">IF(D1678="","",IFERROR(INDEX(Materiali!$C:$C,MATCH(D1678,Materiali!$A:$A,0)),0))</f>
        <v/>
      </c>
      <c r="I1678" s="9" t="str">
        <f aca="false">IF(OR(G1678="",H1678=""),"",IF(F1678="Uscita",-1,1)*G1678*H1678)</f>
        <v/>
      </c>
      <c r="J1678" s="13"/>
      <c r="K1678" s="13"/>
    </row>
    <row r="1679" customFormat="false" ht="15" hidden="false" customHeight="false" outlineLevel="0" collapsed="false">
      <c r="A1679" s="12"/>
      <c r="B1679" s="13"/>
      <c r="C1679" s="13"/>
      <c r="D1679" s="13"/>
      <c r="E1679" s="7" t="str">
        <f aca="false">IF(D1679="","",IFERROR(INDEX(Materiali!$B:$B,MATCH(D1679,Materiali!$A:$A,0)),"codice?"))</f>
        <v/>
      </c>
      <c r="F1679" s="13"/>
      <c r="G1679" s="13"/>
      <c r="H1679" s="9" t="str">
        <f aca="false">IF(D1679="","",IFERROR(INDEX(Materiali!$C:$C,MATCH(D1679,Materiali!$A:$A,0)),0))</f>
        <v/>
      </c>
      <c r="I1679" s="9" t="str">
        <f aca="false">IF(OR(G1679="",H1679=""),"",IF(F1679="Uscita",-1,1)*G1679*H1679)</f>
        <v/>
      </c>
      <c r="J1679" s="13"/>
      <c r="K1679" s="13"/>
    </row>
    <row r="1680" customFormat="false" ht="15" hidden="false" customHeight="false" outlineLevel="0" collapsed="false">
      <c r="A1680" s="12"/>
      <c r="B1680" s="13"/>
      <c r="C1680" s="13"/>
      <c r="D1680" s="13"/>
      <c r="E1680" s="7" t="str">
        <f aca="false">IF(D1680="","",IFERROR(INDEX(Materiali!$B:$B,MATCH(D1680,Materiali!$A:$A,0)),"codice?"))</f>
        <v/>
      </c>
      <c r="F1680" s="13"/>
      <c r="G1680" s="13"/>
      <c r="H1680" s="9" t="str">
        <f aca="false">IF(D1680="","",IFERROR(INDEX(Materiali!$C:$C,MATCH(D1680,Materiali!$A:$A,0)),0))</f>
        <v/>
      </c>
      <c r="I1680" s="9" t="str">
        <f aca="false">IF(OR(G1680="",H1680=""),"",IF(F1680="Uscita",-1,1)*G1680*H1680)</f>
        <v/>
      </c>
      <c r="J1680" s="13"/>
      <c r="K1680" s="13"/>
    </row>
    <row r="1681" customFormat="false" ht="15" hidden="false" customHeight="false" outlineLevel="0" collapsed="false">
      <c r="A1681" s="12"/>
      <c r="B1681" s="13"/>
      <c r="C1681" s="13"/>
      <c r="D1681" s="13"/>
      <c r="E1681" s="7" t="str">
        <f aca="false">IF(D1681="","",IFERROR(INDEX(Materiali!$B:$B,MATCH(D1681,Materiali!$A:$A,0)),"codice?"))</f>
        <v/>
      </c>
      <c r="F1681" s="13"/>
      <c r="G1681" s="13"/>
      <c r="H1681" s="9" t="str">
        <f aca="false">IF(D1681="","",IFERROR(INDEX(Materiali!$C:$C,MATCH(D1681,Materiali!$A:$A,0)),0))</f>
        <v/>
      </c>
      <c r="I1681" s="9" t="str">
        <f aca="false">IF(OR(G1681="",H1681=""),"",IF(F1681="Uscita",-1,1)*G1681*H1681)</f>
        <v/>
      </c>
      <c r="J1681" s="13"/>
      <c r="K1681" s="13"/>
    </row>
    <row r="1682" customFormat="false" ht="15" hidden="false" customHeight="false" outlineLevel="0" collapsed="false">
      <c r="A1682" s="12"/>
      <c r="B1682" s="13"/>
      <c r="C1682" s="13"/>
      <c r="D1682" s="13"/>
      <c r="E1682" s="7" t="str">
        <f aca="false">IF(D1682="","",IFERROR(INDEX(Materiali!$B:$B,MATCH(D1682,Materiali!$A:$A,0)),"codice?"))</f>
        <v/>
      </c>
      <c r="F1682" s="13"/>
      <c r="G1682" s="13"/>
      <c r="H1682" s="9" t="str">
        <f aca="false">IF(D1682="","",IFERROR(INDEX(Materiali!$C:$C,MATCH(D1682,Materiali!$A:$A,0)),0))</f>
        <v/>
      </c>
      <c r="I1682" s="9" t="str">
        <f aca="false">IF(OR(G1682="",H1682=""),"",IF(F1682="Uscita",-1,1)*G1682*H1682)</f>
        <v/>
      </c>
      <c r="J1682" s="13"/>
      <c r="K1682" s="13"/>
    </row>
    <row r="1683" customFormat="false" ht="15" hidden="false" customHeight="false" outlineLevel="0" collapsed="false">
      <c r="A1683" s="12"/>
      <c r="B1683" s="13"/>
      <c r="C1683" s="13"/>
      <c r="D1683" s="13"/>
      <c r="E1683" s="7" t="str">
        <f aca="false">IF(D1683="","",IFERROR(INDEX(Materiali!$B:$B,MATCH(D1683,Materiali!$A:$A,0)),"codice?"))</f>
        <v/>
      </c>
      <c r="F1683" s="13"/>
      <c r="G1683" s="13"/>
      <c r="H1683" s="9" t="str">
        <f aca="false">IF(D1683="","",IFERROR(INDEX(Materiali!$C:$C,MATCH(D1683,Materiali!$A:$A,0)),0))</f>
        <v/>
      </c>
      <c r="I1683" s="9" t="str">
        <f aca="false">IF(OR(G1683="",H1683=""),"",IF(F1683="Uscita",-1,1)*G1683*H1683)</f>
        <v/>
      </c>
      <c r="J1683" s="13"/>
      <c r="K1683" s="13"/>
    </row>
    <row r="1684" customFormat="false" ht="15" hidden="false" customHeight="false" outlineLevel="0" collapsed="false">
      <c r="A1684" s="12"/>
      <c r="B1684" s="13"/>
      <c r="C1684" s="13"/>
      <c r="D1684" s="13"/>
      <c r="E1684" s="7" t="str">
        <f aca="false">IF(D1684="","",IFERROR(INDEX(Materiali!$B:$B,MATCH(D1684,Materiali!$A:$A,0)),"codice?"))</f>
        <v/>
      </c>
      <c r="F1684" s="13"/>
      <c r="G1684" s="13"/>
      <c r="H1684" s="9" t="str">
        <f aca="false">IF(D1684="","",IFERROR(INDEX(Materiali!$C:$C,MATCH(D1684,Materiali!$A:$A,0)),0))</f>
        <v/>
      </c>
      <c r="I1684" s="9" t="str">
        <f aca="false">IF(OR(G1684="",H1684=""),"",IF(F1684="Uscita",-1,1)*G1684*H1684)</f>
        <v/>
      </c>
      <c r="J1684" s="13"/>
      <c r="K1684" s="13"/>
    </row>
    <row r="1685" customFormat="false" ht="15" hidden="false" customHeight="false" outlineLevel="0" collapsed="false">
      <c r="A1685" s="12"/>
      <c r="B1685" s="13"/>
      <c r="C1685" s="13"/>
      <c r="D1685" s="13"/>
      <c r="E1685" s="7" t="str">
        <f aca="false">IF(D1685="","",IFERROR(INDEX(Materiali!$B:$B,MATCH(D1685,Materiali!$A:$A,0)),"codice?"))</f>
        <v/>
      </c>
      <c r="F1685" s="13"/>
      <c r="G1685" s="13"/>
      <c r="H1685" s="9" t="str">
        <f aca="false">IF(D1685="","",IFERROR(INDEX(Materiali!$C:$C,MATCH(D1685,Materiali!$A:$A,0)),0))</f>
        <v/>
      </c>
      <c r="I1685" s="9" t="str">
        <f aca="false">IF(OR(G1685="",H1685=""),"",IF(F1685="Uscita",-1,1)*G1685*H1685)</f>
        <v/>
      </c>
      <c r="J1685" s="13"/>
      <c r="K1685" s="13"/>
    </row>
    <row r="1686" customFormat="false" ht="15" hidden="false" customHeight="false" outlineLevel="0" collapsed="false">
      <c r="A1686" s="12"/>
      <c r="B1686" s="13"/>
      <c r="C1686" s="13"/>
      <c r="D1686" s="13"/>
      <c r="E1686" s="7" t="str">
        <f aca="false">IF(D1686="","",IFERROR(INDEX(Materiali!$B:$B,MATCH(D1686,Materiali!$A:$A,0)),"codice?"))</f>
        <v/>
      </c>
      <c r="F1686" s="13"/>
      <c r="G1686" s="13"/>
      <c r="H1686" s="9" t="str">
        <f aca="false">IF(D1686="","",IFERROR(INDEX(Materiali!$C:$C,MATCH(D1686,Materiali!$A:$A,0)),0))</f>
        <v/>
      </c>
      <c r="I1686" s="9" t="str">
        <f aca="false">IF(OR(G1686="",H1686=""),"",IF(F1686="Uscita",-1,1)*G1686*H1686)</f>
        <v/>
      </c>
      <c r="J1686" s="13"/>
      <c r="K1686" s="13"/>
    </row>
    <row r="1687" customFormat="false" ht="15" hidden="false" customHeight="false" outlineLevel="0" collapsed="false">
      <c r="A1687" s="12"/>
      <c r="B1687" s="13"/>
      <c r="C1687" s="13"/>
      <c r="D1687" s="13"/>
      <c r="E1687" s="7" t="str">
        <f aca="false">IF(D1687="","",IFERROR(INDEX(Materiali!$B:$B,MATCH(D1687,Materiali!$A:$A,0)),"codice?"))</f>
        <v/>
      </c>
      <c r="F1687" s="13"/>
      <c r="G1687" s="13"/>
      <c r="H1687" s="9" t="str">
        <f aca="false">IF(D1687="","",IFERROR(INDEX(Materiali!$C:$C,MATCH(D1687,Materiali!$A:$A,0)),0))</f>
        <v/>
      </c>
      <c r="I1687" s="9" t="str">
        <f aca="false">IF(OR(G1687="",H1687=""),"",IF(F1687="Uscita",-1,1)*G1687*H1687)</f>
        <v/>
      </c>
      <c r="J1687" s="13"/>
      <c r="K1687" s="13"/>
    </row>
    <row r="1688" customFormat="false" ht="15" hidden="false" customHeight="false" outlineLevel="0" collapsed="false">
      <c r="A1688" s="12"/>
      <c r="B1688" s="13"/>
      <c r="C1688" s="13"/>
      <c r="D1688" s="13"/>
      <c r="E1688" s="7" t="str">
        <f aca="false">IF(D1688="","",IFERROR(INDEX(Materiali!$B:$B,MATCH(D1688,Materiali!$A:$A,0)),"codice?"))</f>
        <v/>
      </c>
      <c r="F1688" s="13"/>
      <c r="G1688" s="13"/>
      <c r="H1688" s="9" t="str">
        <f aca="false">IF(D1688="","",IFERROR(INDEX(Materiali!$C:$C,MATCH(D1688,Materiali!$A:$A,0)),0))</f>
        <v/>
      </c>
      <c r="I1688" s="9" t="str">
        <f aca="false">IF(OR(G1688="",H1688=""),"",IF(F1688="Uscita",-1,1)*G1688*H1688)</f>
        <v/>
      </c>
      <c r="J1688" s="13"/>
      <c r="K1688" s="13"/>
    </row>
    <row r="1689" customFormat="false" ht="15" hidden="false" customHeight="false" outlineLevel="0" collapsed="false">
      <c r="A1689" s="12"/>
      <c r="B1689" s="13"/>
      <c r="C1689" s="13"/>
      <c r="D1689" s="13"/>
      <c r="E1689" s="7" t="str">
        <f aca="false">IF(D1689="","",IFERROR(INDEX(Materiali!$B:$B,MATCH(D1689,Materiali!$A:$A,0)),"codice?"))</f>
        <v/>
      </c>
      <c r="F1689" s="13"/>
      <c r="G1689" s="13"/>
      <c r="H1689" s="9" t="str">
        <f aca="false">IF(D1689="","",IFERROR(INDEX(Materiali!$C:$C,MATCH(D1689,Materiali!$A:$A,0)),0))</f>
        <v/>
      </c>
      <c r="I1689" s="9" t="str">
        <f aca="false">IF(OR(G1689="",H1689=""),"",IF(F1689="Uscita",-1,1)*G1689*H1689)</f>
        <v/>
      </c>
      <c r="J1689" s="13"/>
      <c r="K1689" s="13"/>
    </row>
    <row r="1690" customFormat="false" ht="15" hidden="false" customHeight="false" outlineLevel="0" collapsed="false">
      <c r="A1690" s="12"/>
      <c r="B1690" s="13"/>
      <c r="C1690" s="13"/>
      <c r="D1690" s="13"/>
      <c r="E1690" s="7" t="str">
        <f aca="false">IF(D1690="","",IFERROR(INDEX(Materiali!$B:$B,MATCH(D1690,Materiali!$A:$A,0)),"codice?"))</f>
        <v/>
      </c>
      <c r="F1690" s="13"/>
      <c r="G1690" s="13"/>
      <c r="H1690" s="9" t="str">
        <f aca="false">IF(D1690="","",IFERROR(INDEX(Materiali!$C:$C,MATCH(D1690,Materiali!$A:$A,0)),0))</f>
        <v/>
      </c>
      <c r="I1690" s="9" t="str">
        <f aca="false">IF(OR(G1690="",H1690=""),"",IF(F1690="Uscita",-1,1)*G1690*H1690)</f>
        <v/>
      </c>
      <c r="J1690" s="13"/>
      <c r="K1690" s="13"/>
    </row>
    <row r="1691" customFormat="false" ht="15" hidden="false" customHeight="false" outlineLevel="0" collapsed="false">
      <c r="A1691" s="12"/>
      <c r="B1691" s="13"/>
      <c r="C1691" s="13"/>
      <c r="D1691" s="13"/>
      <c r="E1691" s="7" t="str">
        <f aca="false">IF(D1691="","",IFERROR(INDEX(Materiali!$B:$B,MATCH(D1691,Materiali!$A:$A,0)),"codice?"))</f>
        <v/>
      </c>
      <c r="F1691" s="13"/>
      <c r="G1691" s="13"/>
      <c r="H1691" s="9" t="str">
        <f aca="false">IF(D1691="","",IFERROR(INDEX(Materiali!$C:$C,MATCH(D1691,Materiali!$A:$A,0)),0))</f>
        <v/>
      </c>
      <c r="I1691" s="9" t="str">
        <f aca="false">IF(OR(G1691="",H1691=""),"",IF(F1691="Uscita",-1,1)*G1691*H1691)</f>
        <v/>
      </c>
      <c r="J1691" s="13"/>
      <c r="K1691" s="13"/>
    </row>
    <row r="1692" customFormat="false" ht="15" hidden="false" customHeight="false" outlineLevel="0" collapsed="false">
      <c r="A1692" s="12"/>
      <c r="B1692" s="13"/>
      <c r="C1692" s="13"/>
      <c r="D1692" s="13"/>
      <c r="E1692" s="7" t="str">
        <f aca="false">IF(D1692="","",IFERROR(INDEX(Materiali!$B:$B,MATCH(D1692,Materiali!$A:$A,0)),"codice?"))</f>
        <v/>
      </c>
      <c r="F1692" s="13"/>
      <c r="G1692" s="13"/>
      <c r="H1692" s="9" t="str">
        <f aca="false">IF(D1692="","",IFERROR(INDEX(Materiali!$C:$C,MATCH(D1692,Materiali!$A:$A,0)),0))</f>
        <v/>
      </c>
      <c r="I1692" s="9" t="str">
        <f aca="false">IF(OR(G1692="",H1692=""),"",IF(F1692="Uscita",-1,1)*G1692*H1692)</f>
        <v/>
      </c>
      <c r="J1692" s="13"/>
      <c r="K1692" s="13"/>
    </row>
    <row r="1693" customFormat="false" ht="15" hidden="false" customHeight="false" outlineLevel="0" collapsed="false">
      <c r="A1693" s="12"/>
      <c r="B1693" s="13"/>
      <c r="C1693" s="13"/>
      <c r="D1693" s="13"/>
      <c r="E1693" s="7" t="str">
        <f aca="false">IF(D1693="","",IFERROR(INDEX(Materiali!$B:$B,MATCH(D1693,Materiali!$A:$A,0)),"codice?"))</f>
        <v/>
      </c>
      <c r="F1693" s="13"/>
      <c r="G1693" s="13"/>
      <c r="H1693" s="9" t="str">
        <f aca="false">IF(D1693="","",IFERROR(INDEX(Materiali!$C:$C,MATCH(D1693,Materiali!$A:$A,0)),0))</f>
        <v/>
      </c>
      <c r="I1693" s="9" t="str">
        <f aca="false">IF(OR(G1693="",H1693=""),"",IF(F1693="Uscita",-1,1)*G1693*H1693)</f>
        <v/>
      </c>
      <c r="J1693" s="13"/>
      <c r="K1693" s="13"/>
    </row>
    <row r="1694" customFormat="false" ht="15" hidden="false" customHeight="false" outlineLevel="0" collapsed="false">
      <c r="A1694" s="12"/>
      <c r="B1694" s="13"/>
      <c r="C1694" s="13"/>
      <c r="D1694" s="13"/>
      <c r="E1694" s="7" t="str">
        <f aca="false">IF(D1694="","",IFERROR(INDEX(Materiali!$B:$B,MATCH(D1694,Materiali!$A:$A,0)),"codice?"))</f>
        <v/>
      </c>
      <c r="F1694" s="13"/>
      <c r="G1694" s="13"/>
      <c r="H1694" s="9" t="str">
        <f aca="false">IF(D1694="","",IFERROR(INDEX(Materiali!$C:$C,MATCH(D1694,Materiali!$A:$A,0)),0))</f>
        <v/>
      </c>
      <c r="I1694" s="9" t="str">
        <f aca="false">IF(OR(G1694="",H1694=""),"",IF(F1694="Uscita",-1,1)*G1694*H1694)</f>
        <v/>
      </c>
      <c r="J1694" s="13"/>
      <c r="K1694" s="13"/>
    </row>
    <row r="1695" customFormat="false" ht="15" hidden="false" customHeight="false" outlineLevel="0" collapsed="false">
      <c r="A1695" s="12"/>
      <c r="B1695" s="13"/>
      <c r="C1695" s="13"/>
      <c r="D1695" s="13"/>
      <c r="E1695" s="7" t="str">
        <f aca="false">IF(D1695="","",IFERROR(INDEX(Materiali!$B:$B,MATCH(D1695,Materiali!$A:$A,0)),"codice?"))</f>
        <v/>
      </c>
      <c r="F1695" s="13"/>
      <c r="G1695" s="13"/>
      <c r="H1695" s="9" t="str">
        <f aca="false">IF(D1695="","",IFERROR(INDEX(Materiali!$C:$C,MATCH(D1695,Materiali!$A:$A,0)),0))</f>
        <v/>
      </c>
      <c r="I1695" s="9" t="str">
        <f aca="false">IF(OR(G1695="",H1695=""),"",IF(F1695="Uscita",-1,1)*G1695*H1695)</f>
        <v/>
      </c>
      <c r="J1695" s="13"/>
      <c r="K1695" s="13"/>
    </row>
    <row r="1696" customFormat="false" ht="15" hidden="false" customHeight="false" outlineLevel="0" collapsed="false">
      <c r="A1696" s="12"/>
      <c r="B1696" s="13"/>
      <c r="C1696" s="13"/>
      <c r="D1696" s="13"/>
      <c r="E1696" s="7" t="str">
        <f aca="false">IF(D1696="","",IFERROR(INDEX(Materiali!$B:$B,MATCH(D1696,Materiali!$A:$A,0)),"codice?"))</f>
        <v/>
      </c>
      <c r="F1696" s="13"/>
      <c r="G1696" s="13"/>
      <c r="H1696" s="9" t="str">
        <f aca="false">IF(D1696="","",IFERROR(INDEX(Materiali!$C:$C,MATCH(D1696,Materiali!$A:$A,0)),0))</f>
        <v/>
      </c>
      <c r="I1696" s="9" t="str">
        <f aca="false">IF(OR(G1696="",H1696=""),"",IF(F1696="Uscita",-1,1)*G1696*H1696)</f>
        <v/>
      </c>
      <c r="J1696" s="13"/>
      <c r="K1696" s="13"/>
    </row>
    <row r="1697" customFormat="false" ht="15" hidden="false" customHeight="false" outlineLevel="0" collapsed="false">
      <c r="A1697" s="12"/>
      <c r="B1697" s="13"/>
      <c r="C1697" s="13"/>
      <c r="D1697" s="13"/>
      <c r="E1697" s="7" t="str">
        <f aca="false">IF(D1697="","",IFERROR(INDEX(Materiali!$B:$B,MATCH(D1697,Materiali!$A:$A,0)),"codice?"))</f>
        <v/>
      </c>
      <c r="F1697" s="13"/>
      <c r="G1697" s="13"/>
      <c r="H1697" s="9" t="str">
        <f aca="false">IF(D1697="","",IFERROR(INDEX(Materiali!$C:$C,MATCH(D1697,Materiali!$A:$A,0)),0))</f>
        <v/>
      </c>
      <c r="I1697" s="9" t="str">
        <f aca="false">IF(OR(G1697="",H1697=""),"",IF(F1697="Uscita",-1,1)*G1697*H1697)</f>
        <v/>
      </c>
      <c r="J1697" s="13"/>
      <c r="K1697" s="13"/>
    </row>
    <row r="1698" customFormat="false" ht="15" hidden="false" customHeight="false" outlineLevel="0" collapsed="false">
      <c r="A1698" s="12"/>
      <c r="B1698" s="13"/>
      <c r="C1698" s="13"/>
      <c r="D1698" s="13"/>
      <c r="E1698" s="7" t="str">
        <f aca="false">IF(D1698="","",IFERROR(INDEX(Materiali!$B:$B,MATCH(D1698,Materiali!$A:$A,0)),"codice?"))</f>
        <v/>
      </c>
      <c r="F1698" s="13"/>
      <c r="G1698" s="13"/>
      <c r="H1698" s="9" t="str">
        <f aca="false">IF(D1698="","",IFERROR(INDEX(Materiali!$C:$C,MATCH(D1698,Materiali!$A:$A,0)),0))</f>
        <v/>
      </c>
      <c r="I1698" s="9" t="str">
        <f aca="false">IF(OR(G1698="",H1698=""),"",IF(F1698="Uscita",-1,1)*G1698*H1698)</f>
        <v/>
      </c>
      <c r="J1698" s="13"/>
      <c r="K1698" s="13"/>
    </row>
    <row r="1699" customFormat="false" ht="15" hidden="false" customHeight="false" outlineLevel="0" collapsed="false">
      <c r="A1699" s="12"/>
      <c r="B1699" s="13"/>
      <c r="C1699" s="13"/>
      <c r="D1699" s="13"/>
      <c r="E1699" s="7" t="str">
        <f aca="false">IF(D1699="","",IFERROR(INDEX(Materiali!$B:$B,MATCH(D1699,Materiali!$A:$A,0)),"codice?"))</f>
        <v/>
      </c>
      <c r="F1699" s="13"/>
      <c r="G1699" s="13"/>
      <c r="H1699" s="9" t="str">
        <f aca="false">IF(D1699="","",IFERROR(INDEX(Materiali!$C:$C,MATCH(D1699,Materiali!$A:$A,0)),0))</f>
        <v/>
      </c>
      <c r="I1699" s="9" t="str">
        <f aca="false">IF(OR(G1699="",H1699=""),"",IF(F1699="Uscita",-1,1)*G1699*H1699)</f>
        <v/>
      </c>
      <c r="J1699" s="13"/>
      <c r="K1699" s="13"/>
    </row>
    <row r="1700" customFormat="false" ht="15" hidden="false" customHeight="false" outlineLevel="0" collapsed="false">
      <c r="A1700" s="12"/>
      <c r="B1700" s="13"/>
      <c r="C1700" s="13"/>
      <c r="D1700" s="13"/>
      <c r="E1700" s="7" t="str">
        <f aca="false">IF(D1700="","",IFERROR(INDEX(Materiali!$B:$B,MATCH(D1700,Materiali!$A:$A,0)),"codice?"))</f>
        <v/>
      </c>
      <c r="F1700" s="13"/>
      <c r="G1700" s="13"/>
      <c r="H1700" s="9" t="str">
        <f aca="false">IF(D1700="","",IFERROR(INDEX(Materiali!$C:$C,MATCH(D1700,Materiali!$A:$A,0)),0))</f>
        <v/>
      </c>
      <c r="I1700" s="9" t="str">
        <f aca="false">IF(OR(G1700="",H1700=""),"",IF(F1700="Uscita",-1,1)*G1700*H1700)</f>
        <v/>
      </c>
      <c r="J1700" s="13"/>
      <c r="K1700" s="13"/>
    </row>
    <row r="1701" customFormat="false" ht="15" hidden="false" customHeight="false" outlineLevel="0" collapsed="false">
      <c r="A1701" s="12"/>
      <c r="B1701" s="13"/>
      <c r="C1701" s="13"/>
      <c r="D1701" s="13"/>
      <c r="E1701" s="7" t="str">
        <f aca="false">IF(D1701="","",IFERROR(INDEX(Materiali!$B:$B,MATCH(D1701,Materiali!$A:$A,0)),"codice?"))</f>
        <v/>
      </c>
      <c r="F1701" s="13"/>
      <c r="G1701" s="13"/>
      <c r="H1701" s="9" t="str">
        <f aca="false">IF(D1701="","",IFERROR(INDEX(Materiali!$C:$C,MATCH(D1701,Materiali!$A:$A,0)),0))</f>
        <v/>
      </c>
      <c r="I1701" s="9" t="str">
        <f aca="false">IF(OR(G1701="",H1701=""),"",IF(F1701="Uscita",-1,1)*G1701*H1701)</f>
        <v/>
      </c>
      <c r="J1701" s="13"/>
      <c r="K1701" s="13"/>
    </row>
    <row r="1702" customFormat="false" ht="15" hidden="false" customHeight="false" outlineLevel="0" collapsed="false">
      <c r="A1702" s="12"/>
      <c r="B1702" s="13"/>
      <c r="C1702" s="13"/>
      <c r="D1702" s="13"/>
      <c r="E1702" s="7" t="str">
        <f aca="false">IF(D1702="","",IFERROR(INDEX(Materiali!$B:$B,MATCH(D1702,Materiali!$A:$A,0)),"codice?"))</f>
        <v/>
      </c>
      <c r="F1702" s="13"/>
      <c r="G1702" s="13"/>
      <c r="H1702" s="9" t="str">
        <f aca="false">IF(D1702="","",IFERROR(INDEX(Materiali!$C:$C,MATCH(D1702,Materiali!$A:$A,0)),0))</f>
        <v/>
      </c>
      <c r="I1702" s="9" t="str">
        <f aca="false">IF(OR(G1702="",H1702=""),"",IF(F1702="Uscita",-1,1)*G1702*H1702)</f>
        <v/>
      </c>
      <c r="J1702" s="13"/>
      <c r="K1702" s="13"/>
    </row>
    <row r="1703" customFormat="false" ht="15" hidden="false" customHeight="false" outlineLevel="0" collapsed="false">
      <c r="A1703" s="12"/>
      <c r="B1703" s="13"/>
      <c r="C1703" s="13"/>
      <c r="D1703" s="13"/>
      <c r="E1703" s="7" t="str">
        <f aca="false">IF(D1703="","",IFERROR(INDEX(Materiali!$B:$B,MATCH(D1703,Materiali!$A:$A,0)),"codice?"))</f>
        <v/>
      </c>
      <c r="F1703" s="13"/>
      <c r="G1703" s="13"/>
      <c r="H1703" s="9" t="str">
        <f aca="false">IF(D1703="","",IFERROR(INDEX(Materiali!$C:$C,MATCH(D1703,Materiali!$A:$A,0)),0))</f>
        <v/>
      </c>
      <c r="I1703" s="9" t="str">
        <f aca="false">IF(OR(G1703="",H1703=""),"",IF(F1703="Uscita",-1,1)*G1703*H1703)</f>
        <v/>
      </c>
      <c r="J1703" s="13"/>
      <c r="K1703" s="13"/>
    </row>
    <row r="1704" customFormat="false" ht="15" hidden="false" customHeight="false" outlineLevel="0" collapsed="false">
      <c r="A1704" s="12"/>
      <c r="B1704" s="13"/>
      <c r="C1704" s="13"/>
      <c r="D1704" s="13"/>
      <c r="E1704" s="7" t="str">
        <f aca="false">IF(D1704="","",IFERROR(INDEX(Materiali!$B:$B,MATCH(D1704,Materiali!$A:$A,0)),"codice?"))</f>
        <v/>
      </c>
      <c r="F1704" s="13"/>
      <c r="G1704" s="13"/>
      <c r="H1704" s="9" t="str">
        <f aca="false">IF(D1704="","",IFERROR(INDEX(Materiali!$C:$C,MATCH(D1704,Materiali!$A:$A,0)),0))</f>
        <v/>
      </c>
      <c r="I1704" s="9" t="str">
        <f aca="false">IF(OR(G1704="",H1704=""),"",IF(F1704="Uscita",-1,1)*G1704*H1704)</f>
        <v/>
      </c>
      <c r="J1704" s="13"/>
      <c r="K1704" s="13"/>
    </row>
    <row r="1705" customFormat="false" ht="15" hidden="false" customHeight="false" outlineLevel="0" collapsed="false">
      <c r="A1705" s="12"/>
      <c r="B1705" s="13"/>
      <c r="C1705" s="13"/>
      <c r="D1705" s="13"/>
      <c r="E1705" s="7" t="str">
        <f aca="false">IF(D1705="","",IFERROR(INDEX(Materiali!$B:$B,MATCH(D1705,Materiali!$A:$A,0)),"codice?"))</f>
        <v/>
      </c>
      <c r="F1705" s="13"/>
      <c r="G1705" s="13"/>
      <c r="H1705" s="9" t="str">
        <f aca="false">IF(D1705="","",IFERROR(INDEX(Materiali!$C:$C,MATCH(D1705,Materiali!$A:$A,0)),0))</f>
        <v/>
      </c>
      <c r="I1705" s="9" t="str">
        <f aca="false">IF(OR(G1705="",H1705=""),"",IF(F1705="Uscita",-1,1)*G1705*H1705)</f>
        <v/>
      </c>
      <c r="J1705" s="13"/>
      <c r="K1705" s="13"/>
    </row>
    <row r="1706" customFormat="false" ht="15" hidden="false" customHeight="false" outlineLevel="0" collapsed="false">
      <c r="A1706" s="12"/>
      <c r="B1706" s="13"/>
      <c r="C1706" s="13"/>
      <c r="D1706" s="13"/>
      <c r="E1706" s="7" t="str">
        <f aca="false">IF(D1706="","",IFERROR(INDEX(Materiali!$B:$B,MATCH(D1706,Materiali!$A:$A,0)),"codice?"))</f>
        <v/>
      </c>
      <c r="F1706" s="13"/>
      <c r="G1706" s="13"/>
      <c r="H1706" s="9" t="str">
        <f aca="false">IF(D1706="","",IFERROR(INDEX(Materiali!$C:$C,MATCH(D1706,Materiali!$A:$A,0)),0))</f>
        <v/>
      </c>
      <c r="I1706" s="9" t="str">
        <f aca="false">IF(OR(G1706="",H1706=""),"",IF(F1706="Uscita",-1,1)*G1706*H1706)</f>
        <v/>
      </c>
      <c r="J1706" s="13"/>
      <c r="K1706" s="13"/>
    </row>
    <row r="1707" customFormat="false" ht="15" hidden="false" customHeight="false" outlineLevel="0" collapsed="false">
      <c r="A1707" s="12"/>
      <c r="B1707" s="13"/>
      <c r="C1707" s="13"/>
      <c r="D1707" s="13"/>
      <c r="E1707" s="7" t="str">
        <f aca="false">IF(D1707="","",IFERROR(INDEX(Materiali!$B:$B,MATCH(D1707,Materiali!$A:$A,0)),"codice?"))</f>
        <v/>
      </c>
      <c r="F1707" s="13"/>
      <c r="G1707" s="13"/>
      <c r="H1707" s="9" t="str">
        <f aca="false">IF(D1707="","",IFERROR(INDEX(Materiali!$C:$C,MATCH(D1707,Materiali!$A:$A,0)),0))</f>
        <v/>
      </c>
      <c r="I1707" s="9" t="str">
        <f aca="false">IF(OR(G1707="",H1707=""),"",IF(F1707="Uscita",-1,1)*G1707*H1707)</f>
        <v/>
      </c>
      <c r="J1707" s="13"/>
      <c r="K1707" s="13"/>
    </row>
    <row r="1708" customFormat="false" ht="15" hidden="false" customHeight="false" outlineLevel="0" collapsed="false">
      <c r="A1708" s="12"/>
      <c r="B1708" s="13"/>
      <c r="C1708" s="13"/>
      <c r="D1708" s="13"/>
      <c r="E1708" s="7" t="str">
        <f aca="false">IF(D1708="","",IFERROR(INDEX(Materiali!$B:$B,MATCH(D1708,Materiali!$A:$A,0)),"codice?"))</f>
        <v/>
      </c>
      <c r="F1708" s="13"/>
      <c r="G1708" s="13"/>
      <c r="H1708" s="9" t="str">
        <f aca="false">IF(D1708="","",IFERROR(INDEX(Materiali!$C:$C,MATCH(D1708,Materiali!$A:$A,0)),0))</f>
        <v/>
      </c>
      <c r="I1708" s="9" t="str">
        <f aca="false">IF(OR(G1708="",H1708=""),"",IF(F1708="Uscita",-1,1)*G1708*H1708)</f>
        <v/>
      </c>
      <c r="J1708" s="13"/>
      <c r="K1708" s="13"/>
    </row>
    <row r="1709" customFormat="false" ht="15" hidden="false" customHeight="false" outlineLevel="0" collapsed="false">
      <c r="A1709" s="12"/>
      <c r="B1709" s="13"/>
      <c r="C1709" s="13"/>
      <c r="D1709" s="13"/>
      <c r="E1709" s="7" t="str">
        <f aca="false">IF(D1709="","",IFERROR(INDEX(Materiali!$B:$B,MATCH(D1709,Materiali!$A:$A,0)),"codice?"))</f>
        <v/>
      </c>
      <c r="F1709" s="13"/>
      <c r="G1709" s="13"/>
      <c r="H1709" s="9" t="str">
        <f aca="false">IF(D1709="","",IFERROR(INDEX(Materiali!$C:$C,MATCH(D1709,Materiali!$A:$A,0)),0))</f>
        <v/>
      </c>
      <c r="I1709" s="9" t="str">
        <f aca="false">IF(OR(G1709="",H1709=""),"",IF(F1709="Uscita",-1,1)*G1709*H1709)</f>
        <v/>
      </c>
      <c r="J1709" s="13"/>
      <c r="K1709" s="13"/>
    </row>
    <row r="1710" customFormat="false" ht="15" hidden="false" customHeight="false" outlineLevel="0" collapsed="false">
      <c r="A1710" s="12"/>
      <c r="B1710" s="13"/>
      <c r="C1710" s="13"/>
      <c r="D1710" s="13"/>
      <c r="E1710" s="7" t="str">
        <f aca="false">IF(D1710="","",IFERROR(INDEX(Materiali!$B:$B,MATCH(D1710,Materiali!$A:$A,0)),"codice?"))</f>
        <v/>
      </c>
      <c r="F1710" s="13"/>
      <c r="G1710" s="13"/>
      <c r="H1710" s="9" t="str">
        <f aca="false">IF(D1710="","",IFERROR(INDEX(Materiali!$C:$C,MATCH(D1710,Materiali!$A:$A,0)),0))</f>
        <v/>
      </c>
      <c r="I1710" s="9" t="str">
        <f aca="false">IF(OR(G1710="",H1710=""),"",IF(F1710="Uscita",-1,1)*G1710*H1710)</f>
        <v/>
      </c>
      <c r="J1710" s="13"/>
      <c r="K1710" s="13"/>
    </row>
    <row r="1711" customFormat="false" ht="15" hidden="false" customHeight="false" outlineLevel="0" collapsed="false">
      <c r="A1711" s="12"/>
      <c r="B1711" s="13"/>
      <c r="C1711" s="13"/>
      <c r="D1711" s="13"/>
      <c r="E1711" s="7" t="str">
        <f aca="false">IF(D1711="","",IFERROR(INDEX(Materiali!$B:$B,MATCH(D1711,Materiali!$A:$A,0)),"codice?"))</f>
        <v/>
      </c>
      <c r="F1711" s="13"/>
      <c r="G1711" s="13"/>
      <c r="H1711" s="9" t="str">
        <f aca="false">IF(D1711="","",IFERROR(INDEX(Materiali!$C:$C,MATCH(D1711,Materiali!$A:$A,0)),0))</f>
        <v/>
      </c>
      <c r="I1711" s="9" t="str">
        <f aca="false">IF(OR(G1711="",H1711=""),"",IF(F1711="Uscita",-1,1)*G1711*H1711)</f>
        <v/>
      </c>
      <c r="J1711" s="13"/>
      <c r="K1711" s="13"/>
    </row>
    <row r="1712" customFormat="false" ht="15" hidden="false" customHeight="false" outlineLevel="0" collapsed="false">
      <c r="A1712" s="12"/>
      <c r="B1712" s="13"/>
      <c r="C1712" s="13"/>
      <c r="D1712" s="13"/>
      <c r="E1712" s="7" t="str">
        <f aca="false">IF(D1712="","",IFERROR(INDEX(Materiali!$B:$B,MATCH(D1712,Materiali!$A:$A,0)),"codice?"))</f>
        <v/>
      </c>
      <c r="F1712" s="13"/>
      <c r="G1712" s="13"/>
      <c r="H1712" s="9" t="str">
        <f aca="false">IF(D1712="","",IFERROR(INDEX(Materiali!$C:$C,MATCH(D1712,Materiali!$A:$A,0)),0))</f>
        <v/>
      </c>
      <c r="I1712" s="9" t="str">
        <f aca="false">IF(OR(G1712="",H1712=""),"",IF(F1712="Uscita",-1,1)*G1712*H1712)</f>
        <v/>
      </c>
      <c r="J1712" s="13"/>
      <c r="K1712" s="13"/>
    </row>
    <row r="1713" customFormat="false" ht="15" hidden="false" customHeight="false" outlineLevel="0" collapsed="false">
      <c r="A1713" s="12"/>
      <c r="B1713" s="13"/>
      <c r="C1713" s="13"/>
      <c r="D1713" s="13"/>
      <c r="E1713" s="7" t="str">
        <f aca="false">IF(D1713="","",IFERROR(INDEX(Materiali!$B:$B,MATCH(D1713,Materiali!$A:$A,0)),"codice?"))</f>
        <v/>
      </c>
      <c r="F1713" s="13"/>
      <c r="G1713" s="13"/>
      <c r="H1713" s="9" t="str">
        <f aca="false">IF(D1713="","",IFERROR(INDEX(Materiali!$C:$C,MATCH(D1713,Materiali!$A:$A,0)),0))</f>
        <v/>
      </c>
      <c r="I1713" s="9" t="str">
        <f aca="false">IF(OR(G1713="",H1713=""),"",IF(F1713="Uscita",-1,1)*G1713*H1713)</f>
        <v/>
      </c>
      <c r="J1713" s="13"/>
      <c r="K1713" s="13"/>
    </row>
    <row r="1714" customFormat="false" ht="15" hidden="false" customHeight="false" outlineLevel="0" collapsed="false">
      <c r="A1714" s="12"/>
      <c r="B1714" s="13"/>
      <c r="C1714" s="13"/>
      <c r="D1714" s="13"/>
      <c r="E1714" s="7" t="str">
        <f aca="false">IF(D1714="","",IFERROR(INDEX(Materiali!$B:$B,MATCH(D1714,Materiali!$A:$A,0)),"codice?"))</f>
        <v/>
      </c>
      <c r="F1714" s="13"/>
      <c r="G1714" s="13"/>
      <c r="H1714" s="9" t="str">
        <f aca="false">IF(D1714="","",IFERROR(INDEX(Materiali!$C:$C,MATCH(D1714,Materiali!$A:$A,0)),0))</f>
        <v/>
      </c>
      <c r="I1714" s="9" t="str">
        <f aca="false">IF(OR(G1714="",H1714=""),"",IF(F1714="Uscita",-1,1)*G1714*H1714)</f>
        <v/>
      </c>
      <c r="J1714" s="13"/>
      <c r="K1714" s="13"/>
    </row>
    <row r="1715" customFormat="false" ht="15" hidden="false" customHeight="false" outlineLevel="0" collapsed="false">
      <c r="A1715" s="12"/>
      <c r="B1715" s="13"/>
      <c r="C1715" s="13"/>
      <c r="D1715" s="13"/>
      <c r="E1715" s="7" t="str">
        <f aca="false">IF(D1715="","",IFERROR(INDEX(Materiali!$B:$B,MATCH(D1715,Materiali!$A:$A,0)),"codice?"))</f>
        <v/>
      </c>
      <c r="F1715" s="13"/>
      <c r="G1715" s="13"/>
      <c r="H1715" s="9" t="str">
        <f aca="false">IF(D1715="","",IFERROR(INDEX(Materiali!$C:$C,MATCH(D1715,Materiali!$A:$A,0)),0))</f>
        <v/>
      </c>
      <c r="I1715" s="9" t="str">
        <f aca="false">IF(OR(G1715="",H1715=""),"",IF(F1715="Uscita",-1,1)*G1715*H1715)</f>
        <v/>
      </c>
      <c r="J1715" s="13"/>
      <c r="K1715" s="13"/>
    </row>
    <row r="1716" customFormat="false" ht="15" hidden="false" customHeight="false" outlineLevel="0" collapsed="false">
      <c r="A1716" s="12"/>
      <c r="B1716" s="13"/>
      <c r="C1716" s="13"/>
      <c r="D1716" s="13"/>
      <c r="E1716" s="7" t="str">
        <f aca="false">IF(D1716="","",IFERROR(INDEX(Materiali!$B:$B,MATCH(D1716,Materiali!$A:$A,0)),"codice?"))</f>
        <v/>
      </c>
      <c r="F1716" s="13"/>
      <c r="G1716" s="13"/>
      <c r="H1716" s="9" t="str">
        <f aca="false">IF(D1716="","",IFERROR(INDEX(Materiali!$C:$C,MATCH(D1716,Materiali!$A:$A,0)),0))</f>
        <v/>
      </c>
      <c r="I1716" s="9" t="str">
        <f aca="false">IF(OR(G1716="",H1716=""),"",IF(F1716="Uscita",-1,1)*G1716*H1716)</f>
        <v/>
      </c>
      <c r="J1716" s="13"/>
      <c r="K1716" s="13"/>
    </row>
    <row r="1717" customFormat="false" ht="15" hidden="false" customHeight="false" outlineLevel="0" collapsed="false">
      <c r="A1717" s="12"/>
      <c r="B1717" s="13"/>
      <c r="C1717" s="13"/>
      <c r="D1717" s="13"/>
      <c r="E1717" s="7" t="str">
        <f aca="false">IF(D1717="","",IFERROR(INDEX(Materiali!$B:$B,MATCH(D1717,Materiali!$A:$A,0)),"codice?"))</f>
        <v/>
      </c>
      <c r="F1717" s="13"/>
      <c r="G1717" s="13"/>
      <c r="H1717" s="9" t="str">
        <f aca="false">IF(D1717="","",IFERROR(INDEX(Materiali!$C:$C,MATCH(D1717,Materiali!$A:$A,0)),0))</f>
        <v/>
      </c>
      <c r="I1717" s="9" t="str">
        <f aca="false">IF(OR(G1717="",H1717=""),"",IF(F1717="Uscita",-1,1)*G1717*H1717)</f>
        <v/>
      </c>
      <c r="J1717" s="13"/>
      <c r="K1717" s="13"/>
    </row>
    <row r="1718" customFormat="false" ht="15" hidden="false" customHeight="false" outlineLevel="0" collapsed="false">
      <c r="A1718" s="12"/>
      <c r="B1718" s="13"/>
      <c r="C1718" s="13"/>
      <c r="D1718" s="13"/>
      <c r="E1718" s="7" t="str">
        <f aca="false">IF(D1718="","",IFERROR(INDEX(Materiali!$B:$B,MATCH(D1718,Materiali!$A:$A,0)),"codice?"))</f>
        <v/>
      </c>
      <c r="F1718" s="13"/>
      <c r="G1718" s="13"/>
      <c r="H1718" s="9" t="str">
        <f aca="false">IF(D1718="","",IFERROR(INDEX(Materiali!$C:$C,MATCH(D1718,Materiali!$A:$A,0)),0))</f>
        <v/>
      </c>
      <c r="I1718" s="9" t="str">
        <f aca="false">IF(OR(G1718="",H1718=""),"",IF(F1718="Uscita",-1,1)*G1718*H1718)</f>
        <v/>
      </c>
      <c r="J1718" s="13"/>
      <c r="K1718" s="13"/>
    </row>
    <row r="1719" customFormat="false" ht="15" hidden="false" customHeight="false" outlineLevel="0" collapsed="false">
      <c r="A1719" s="12"/>
      <c r="B1719" s="13"/>
      <c r="C1719" s="13"/>
      <c r="D1719" s="13"/>
      <c r="E1719" s="7" t="str">
        <f aca="false">IF(D1719="","",IFERROR(INDEX(Materiali!$B:$B,MATCH(D1719,Materiali!$A:$A,0)),"codice?"))</f>
        <v/>
      </c>
      <c r="F1719" s="13"/>
      <c r="G1719" s="13"/>
      <c r="H1719" s="9" t="str">
        <f aca="false">IF(D1719="","",IFERROR(INDEX(Materiali!$C:$C,MATCH(D1719,Materiali!$A:$A,0)),0))</f>
        <v/>
      </c>
      <c r="I1719" s="9" t="str">
        <f aca="false">IF(OR(G1719="",H1719=""),"",IF(F1719="Uscita",-1,1)*G1719*H1719)</f>
        <v/>
      </c>
      <c r="J1719" s="13"/>
      <c r="K1719" s="13"/>
    </row>
    <row r="1720" customFormat="false" ht="15" hidden="false" customHeight="false" outlineLevel="0" collapsed="false">
      <c r="A1720" s="12"/>
      <c r="B1720" s="13"/>
      <c r="C1720" s="13"/>
      <c r="D1720" s="13"/>
      <c r="E1720" s="7" t="str">
        <f aca="false">IF(D1720="","",IFERROR(INDEX(Materiali!$B:$B,MATCH(D1720,Materiali!$A:$A,0)),"codice?"))</f>
        <v/>
      </c>
      <c r="F1720" s="13"/>
      <c r="G1720" s="13"/>
      <c r="H1720" s="9" t="str">
        <f aca="false">IF(D1720="","",IFERROR(INDEX(Materiali!$C:$C,MATCH(D1720,Materiali!$A:$A,0)),0))</f>
        <v/>
      </c>
      <c r="I1720" s="9" t="str">
        <f aca="false">IF(OR(G1720="",H1720=""),"",IF(F1720="Uscita",-1,1)*G1720*H1720)</f>
        <v/>
      </c>
      <c r="J1720" s="13"/>
      <c r="K1720" s="13"/>
    </row>
    <row r="1721" customFormat="false" ht="15" hidden="false" customHeight="false" outlineLevel="0" collapsed="false">
      <c r="A1721" s="12"/>
      <c r="B1721" s="13"/>
      <c r="C1721" s="13"/>
      <c r="D1721" s="13"/>
      <c r="E1721" s="7" t="str">
        <f aca="false">IF(D1721="","",IFERROR(INDEX(Materiali!$B:$B,MATCH(D1721,Materiali!$A:$A,0)),"codice?"))</f>
        <v/>
      </c>
      <c r="F1721" s="13"/>
      <c r="G1721" s="13"/>
      <c r="H1721" s="9" t="str">
        <f aca="false">IF(D1721="","",IFERROR(INDEX(Materiali!$C:$C,MATCH(D1721,Materiali!$A:$A,0)),0))</f>
        <v/>
      </c>
      <c r="I1721" s="9" t="str">
        <f aca="false">IF(OR(G1721="",H1721=""),"",IF(F1721="Uscita",-1,1)*G1721*H1721)</f>
        <v/>
      </c>
      <c r="J1721" s="13"/>
      <c r="K1721" s="13"/>
    </row>
    <row r="1722" customFormat="false" ht="15" hidden="false" customHeight="false" outlineLevel="0" collapsed="false">
      <c r="A1722" s="12"/>
      <c r="B1722" s="13"/>
      <c r="C1722" s="13"/>
      <c r="D1722" s="13"/>
      <c r="E1722" s="7" t="str">
        <f aca="false">IF(D1722="","",IFERROR(INDEX(Materiali!$B:$B,MATCH(D1722,Materiali!$A:$A,0)),"codice?"))</f>
        <v/>
      </c>
      <c r="F1722" s="13"/>
      <c r="G1722" s="13"/>
      <c r="H1722" s="9" t="str">
        <f aca="false">IF(D1722="","",IFERROR(INDEX(Materiali!$C:$C,MATCH(D1722,Materiali!$A:$A,0)),0))</f>
        <v/>
      </c>
      <c r="I1722" s="9" t="str">
        <f aca="false">IF(OR(G1722="",H1722=""),"",IF(F1722="Uscita",-1,1)*G1722*H1722)</f>
        <v/>
      </c>
      <c r="J1722" s="13"/>
      <c r="K1722" s="13"/>
    </row>
    <row r="1723" customFormat="false" ht="15" hidden="false" customHeight="false" outlineLevel="0" collapsed="false">
      <c r="A1723" s="12"/>
      <c r="B1723" s="13"/>
      <c r="C1723" s="13"/>
      <c r="D1723" s="13"/>
      <c r="E1723" s="7" t="str">
        <f aca="false">IF(D1723="","",IFERROR(INDEX(Materiali!$B:$B,MATCH(D1723,Materiali!$A:$A,0)),"codice?"))</f>
        <v/>
      </c>
      <c r="F1723" s="13"/>
      <c r="G1723" s="13"/>
      <c r="H1723" s="9" t="str">
        <f aca="false">IF(D1723="","",IFERROR(INDEX(Materiali!$C:$C,MATCH(D1723,Materiali!$A:$A,0)),0))</f>
        <v/>
      </c>
      <c r="I1723" s="9" t="str">
        <f aca="false">IF(OR(G1723="",H1723=""),"",IF(F1723="Uscita",-1,1)*G1723*H1723)</f>
        <v/>
      </c>
      <c r="J1723" s="13"/>
      <c r="K1723" s="13"/>
    </row>
    <row r="1724" customFormat="false" ht="15" hidden="false" customHeight="false" outlineLevel="0" collapsed="false">
      <c r="A1724" s="12"/>
      <c r="B1724" s="13"/>
      <c r="C1724" s="13"/>
      <c r="D1724" s="13"/>
      <c r="E1724" s="7" t="str">
        <f aca="false">IF(D1724="","",IFERROR(INDEX(Materiali!$B:$B,MATCH(D1724,Materiali!$A:$A,0)),"codice?"))</f>
        <v/>
      </c>
      <c r="F1724" s="13"/>
      <c r="G1724" s="13"/>
      <c r="H1724" s="9" t="str">
        <f aca="false">IF(D1724="","",IFERROR(INDEX(Materiali!$C:$C,MATCH(D1724,Materiali!$A:$A,0)),0))</f>
        <v/>
      </c>
      <c r="I1724" s="9" t="str">
        <f aca="false">IF(OR(G1724="",H1724=""),"",IF(F1724="Uscita",-1,1)*G1724*H1724)</f>
        <v/>
      </c>
      <c r="J1724" s="13"/>
      <c r="K1724" s="13"/>
    </row>
    <row r="1725" customFormat="false" ht="15" hidden="false" customHeight="false" outlineLevel="0" collapsed="false">
      <c r="A1725" s="12"/>
      <c r="B1725" s="13"/>
      <c r="C1725" s="13"/>
      <c r="D1725" s="13"/>
      <c r="E1725" s="7" t="str">
        <f aca="false">IF(D1725="","",IFERROR(INDEX(Materiali!$B:$B,MATCH(D1725,Materiali!$A:$A,0)),"codice?"))</f>
        <v/>
      </c>
      <c r="F1725" s="13"/>
      <c r="G1725" s="13"/>
      <c r="H1725" s="9" t="str">
        <f aca="false">IF(D1725="","",IFERROR(INDEX(Materiali!$C:$C,MATCH(D1725,Materiali!$A:$A,0)),0))</f>
        <v/>
      </c>
      <c r="I1725" s="9" t="str">
        <f aca="false">IF(OR(G1725="",H1725=""),"",IF(F1725="Uscita",-1,1)*G1725*H1725)</f>
        <v/>
      </c>
      <c r="J1725" s="13"/>
      <c r="K1725" s="13"/>
    </row>
    <row r="1726" customFormat="false" ht="15" hidden="false" customHeight="false" outlineLevel="0" collapsed="false">
      <c r="A1726" s="12"/>
      <c r="B1726" s="13"/>
      <c r="C1726" s="13"/>
      <c r="D1726" s="13"/>
      <c r="E1726" s="7" t="str">
        <f aca="false">IF(D1726="","",IFERROR(INDEX(Materiali!$B:$B,MATCH(D1726,Materiali!$A:$A,0)),"codice?"))</f>
        <v/>
      </c>
      <c r="F1726" s="13"/>
      <c r="G1726" s="13"/>
      <c r="H1726" s="9" t="str">
        <f aca="false">IF(D1726="","",IFERROR(INDEX(Materiali!$C:$C,MATCH(D1726,Materiali!$A:$A,0)),0))</f>
        <v/>
      </c>
      <c r="I1726" s="9" t="str">
        <f aca="false">IF(OR(G1726="",H1726=""),"",IF(F1726="Uscita",-1,1)*G1726*H1726)</f>
        <v/>
      </c>
      <c r="J1726" s="13"/>
      <c r="K1726" s="13"/>
    </row>
    <row r="1727" customFormat="false" ht="15" hidden="false" customHeight="false" outlineLevel="0" collapsed="false">
      <c r="A1727" s="12"/>
      <c r="B1727" s="13"/>
      <c r="C1727" s="13"/>
      <c r="D1727" s="13"/>
      <c r="E1727" s="7" t="str">
        <f aca="false">IF(D1727="","",IFERROR(INDEX(Materiali!$B:$B,MATCH(D1727,Materiali!$A:$A,0)),"codice?"))</f>
        <v/>
      </c>
      <c r="F1727" s="13"/>
      <c r="G1727" s="13"/>
      <c r="H1727" s="9" t="str">
        <f aca="false">IF(D1727="","",IFERROR(INDEX(Materiali!$C:$C,MATCH(D1727,Materiali!$A:$A,0)),0))</f>
        <v/>
      </c>
      <c r="I1727" s="9" t="str">
        <f aca="false">IF(OR(G1727="",H1727=""),"",IF(F1727="Uscita",-1,1)*G1727*H1727)</f>
        <v/>
      </c>
      <c r="J1727" s="13"/>
      <c r="K1727" s="13"/>
    </row>
    <row r="1728" customFormat="false" ht="15" hidden="false" customHeight="false" outlineLevel="0" collapsed="false">
      <c r="A1728" s="12"/>
      <c r="B1728" s="13"/>
      <c r="C1728" s="13"/>
      <c r="D1728" s="13"/>
      <c r="E1728" s="7" t="str">
        <f aca="false">IF(D1728="","",IFERROR(INDEX(Materiali!$B:$B,MATCH(D1728,Materiali!$A:$A,0)),"codice?"))</f>
        <v/>
      </c>
      <c r="F1728" s="13"/>
      <c r="G1728" s="13"/>
      <c r="H1728" s="9" t="str">
        <f aca="false">IF(D1728="","",IFERROR(INDEX(Materiali!$C:$C,MATCH(D1728,Materiali!$A:$A,0)),0))</f>
        <v/>
      </c>
      <c r="I1728" s="9" t="str">
        <f aca="false">IF(OR(G1728="",H1728=""),"",IF(F1728="Uscita",-1,1)*G1728*H1728)</f>
        <v/>
      </c>
      <c r="J1728" s="13"/>
      <c r="K1728" s="13"/>
    </row>
    <row r="1729" customFormat="false" ht="15" hidden="false" customHeight="false" outlineLevel="0" collapsed="false">
      <c r="A1729" s="12"/>
      <c r="B1729" s="13"/>
      <c r="C1729" s="13"/>
      <c r="D1729" s="13"/>
      <c r="E1729" s="7" t="str">
        <f aca="false">IF(D1729="","",IFERROR(INDEX(Materiali!$B:$B,MATCH(D1729,Materiali!$A:$A,0)),"codice?"))</f>
        <v/>
      </c>
      <c r="F1729" s="13"/>
      <c r="G1729" s="13"/>
      <c r="H1729" s="9" t="str">
        <f aca="false">IF(D1729="","",IFERROR(INDEX(Materiali!$C:$C,MATCH(D1729,Materiali!$A:$A,0)),0))</f>
        <v/>
      </c>
      <c r="I1729" s="9" t="str">
        <f aca="false">IF(OR(G1729="",H1729=""),"",IF(F1729="Uscita",-1,1)*G1729*H1729)</f>
        <v/>
      </c>
      <c r="J1729" s="13"/>
      <c r="K1729" s="13"/>
    </row>
    <row r="1730" customFormat="false" ht="15" hidden="false" customHeight="false" outlineLevel="0" collapsed="false">
      <c r="A1730" s="12"/>
      <c r="B1730" s="13"/>
      <c r="C1730" s="13"/>
      <c r="D1730" s="13"/>
      <c r="E1730" s="7" t="str">
        <f aca="false">IF(D1730="","",IFERROR(INDEX(Materiali!$B:$B,MATCH(D1730,Materiali!$A:$A,0)),"codice?"))</f>
        <v/>
      </c>
      <c r="F1730" s="13"/>
      <c r="G1730" s="13"/>
      <c r="H1730" s="9" t="str">
        <f aca="false">IF(D1730="","",IFERROR(INDEX(Materiali!$C:$C,MATCH(D1730,Materiali!$A:$A,0)),0))</f>
        <v/>
      </c>
      <c r="I1730" s="9" t="str">
        <f aca="false">IF(OR(G1730="",H1730=""),"",IF(F1730="Uscita",-1,1)*G1730*H1730)</f>
        <v/>
      </c>
      <c r="J1730" s="13"/>
      <c r="K1730" s="13"/>
    </row>
    <row r="1731" customFormat="false" ht="15" hidden="false" customHeight="false" outlineLevel="0" collapsed="false">
      <c r="A1731" s="12"/>
      <c r="B1731" s="13"/>
      <c r="C1731" s="13"/>
      <c r="D1731" s="13"/>
      <c r="E1731" s="7" t="str">
        <f aca="false">IF(D1731="","",IFERROR(INDEX(Materiali!$B:$B,MATCH(D1731,Materiali!$A:$A,0)),"codice?"))</f>
        <v/>
      </c>
      <c r="F1731" s="13"/>
      <c r="G1731" s="13"/>
      <c r="H1731" s="9" t="str">
        <f aca="false">IF(D1731="","",IFERROR(INDEX(Materiali!$C:$C,MATCH(D1731,Materiali!$A:$A,0)),0))</f>
        <v/>
      </c>
      <c r="I1731" s="9" t="str">
        <f aca="false">IF(OR(G1731="",H1731=""),"",IF(F1731="Uscita",-1,1)*G1731*H1731)</f>
        <v/>
      </c>
      <c r="J1731" s="13"/>
      <c r="K1731" s="13"/>
    </row>
    <row r="1732" customFormat="false" ht="15" hidden="false" customHeight="false" outlineLevel="0" collapsed="false">
      <c r="A1732" s="12"/>
      <c r="B1732" s="13"/>
      <c r="C1732" s="13"/>
      <c r="D1732" s="13"/>
      <c r="E1732" s="7" t="str">
        <f aca="false">IF(D1732="","",IFERROR(INDEX(Materiali!$B:$B,MATCH(D1732,Materiali!$A:$A,0)),"codice?"))</f>
        <v/>
      </c>
      <c r="F1732" s="13"/>
      <c r="G1732" s="13"/>
      <c r="H1732" s="9" t="str">
        <f aca="false">IF(D1732="","",IFERROR(INDEX(Materiali!$C:$C,MATCH(D1732,Materiali!$A:$A,0)),0))</f>
        <v/>
      </c>
      <c r="I1732" s="9" t="str">
        <f aca="false">IF(OR(G1732="",H1732=""),"",IF(F1732="Uscita",-1,1)*G1732*H1732)</f>
        <v/>
      </c>
      <c r="J1732" s="13"/>
      <c r="K1732" s="13"/>
    </row>
    <row r="1733" customFormat="false" ht="15" hidden="false" customHeight="false" outlineLevel="0" collapsed="false">
      <c r="A1733" s="12"/>
      <c r="B1733" s="13"/>
      <c r="C1733" s="13"/>
      <c r="D1733" s="13"/>
      <c r="E1733" s="7" t="str">
        <f aca="false">IF(D1733="","",IFERROR(INDEX(Materiali!$B:$B,MATCH(D1733,Materiali!$A:$A,0)),"codice?"))</f>
        <v/>
      </c>
      <c r="F1733" s="13"/>
      <c r="G1733" s="13"/>
      <c r="H1733" s="9" t="str">
        <f aca="false">IF(D1733="","",IFERROR(INDEX(Materiali!$C:$C,MATCH(D1733,Materiali!$A:$A,0)),0))</f>
        <v/>
      </c>
      <c r="I1733" s="9" t="str">
        <f aca="false">IF(OR(G1733="",H1733=""),"",IF(F1733="Uscita",-1,1)*G1733*H1733)</f>
        <v/>
      </c>
      <c r="J1733" s="13"/>
      <c r="K1733" s="13"/>
    </row>
    <row r="1734" customFormat="false" ht="15" hidden="false" customHeight="false" outlineLevel="0" collapsed="false">
      <c r="A1734" s="12"/>
      <c r="B1734" s="13"/>
      <c r="C1734" s="13"/>
      <c r="D1734" s="13"/>
      <c r="E1734" s="7" t="str">
        <f aca="false">IF(D1734="","",IFERROR(INDEX(Materiali!$B:$B,MATCH(D1734,Materiali!$A:$A,0)),"codice?"))</f>
        <v/>
      </c>
      <c r="F1734" s="13"/>
      <c r="G1734" s="13"/>
      <c r="H1734" s="9" t="str">
        <f aca="false">IF(D1734="","",IFERROR(INDEX(Materiali!$C:$C,MATCH(D1734,Materiali!$A:$A,0)),0))</f>
        <v/>
      </c>
      <c r="I1734" s="9" t="str">
        <f aca="false">IF(OR(G1734="",H1734=""),"",IF(F1734="Uscita",-1,1)*G1734*H1734)</f>
        <v/>
      </c>
      <c r="J1734" s="13"/>
      <c r="K1734" s="13"/>
    </row>
    <row r="1735" customFormat="false" ht="15" hidden="false" customHeight="false" outlineLevel="0" collapsed="false">
      <c r="A1735" s="12"/>
      <c r="B1735" s="13"/>
      <c r="C1735" s="13"/>
      <c r="D1735" s="13"/>
      <c r="E1735" s="7" t="str">
        <f aca="false">IF(D1735="","",IFERROR(INDEX(Materiali!$B:$B,MATCH(D1735,Materiali!$A:$A,0)),"codice?"))</f>
        <v/>
      </c>
      <c r="F1735" s="13"/>
      <c r="G1735" s="13"/>
      <c r="H1735" s="9" t="str">
        <f aca="false">IF(D1735="","",IFERROR(INDEX(Materiali!$C:$C,MATCH(D1735,Materiali!$A:$A,0)),0))</f>
        <v/>
      </c>
      <c r="I1735" s="9" t="str">
        <f aca="false">IF(OR(G1735="",H1735=""),"",IF(F1735="Uscita",-1,1)*G1735*H1735)</f>
        <v/>
      </c>
      <c r="J1735" s="13"/>
      <c r="K1735" s="13"/>
    </row>
    <row r="1736" customFormat="false" ht="15" hidden="false" customHeight="false" outlineLevel="0" collapsed="false">
      <c r="A1736" s="12"/>
      <c r="B1736" s="13"/>
      <c r="C1736" s="13"/>
      <c r="D1736" s="13"/>
      <c r="E1736" s="7" t="str">
        <f aca="false">IF(D1736="","",IFERROR(INDEX(Materiali!$B:$B,MATCH(D1736,Materiali!$A:$A,0)),"codice?"))</f>
        <v/>
      </c>
      <c r="F1736" s="13"/>
      <c r="G1736" s="13"/>
      <c r="H1736" s="9" t="str">
        <f aca="false">IF(D1736="","",IFERROR(INDEX(Materiali!$C:$C,MATCH(D1736,Materiali!$A:$A,0)),0))</f>
        <v/>
      </c>
      <c r="I1736" s="9" t="str">
        <f aca="false">IF(OR(G1736="",H1736=""),"",IF(F1736="Uscita",-1,1)*G1736*H1736)</f>
        <v/>
      </c>
      <c r="J1736" s="13"/>
      <c r="K1736" s="13"/>
    </row>
    <row r="1737" customFormat="false" ht="15" hidden="false" customHeight="false" outlineLevel="0" collapsed="false">
      <c r="A1737" s="12"/>
      <c r="B1737" s="13"/>
      <c r="C1737" s="13"/>
      <c r="D1737" s="13"/>
      <c r="E1737" s="7" t="str">
        <f aca="false">IF(D1737="","",IFERROR(INDEX(Materiali!$B:$B,MATCH(D1737,Materiali!$A:$A,0)),"codice?"))</f>
        <v/>
      </c>
      <c r="F1737" s="13"/>
      <c r="G1737" s="13"/>
      <c r="H1737" s="9" t="str">
        <f aca="false">IF(D1737="","",IFERROR(INDEX(Materiali!$C:$C,MATCH(D1737,Materiali!$A:$A,0)),0))</f>
        <v/>
      </c>
      <c r="I1737" s="9" t="str">
        <f aca="false">IF(OR(G1737="",H1737=""),"",IF(F1737="Uscita",-1,1)*G1737*H1737)</f>
        <v/>
      </c>
      <c r="J1737" s="13"/>
      <c r="K1737" s="13"/>
    </row>
    <row r="1738" customFormat="false" ht="15" hidden="false" customHeight="false" outlineLevel="0" collapsed="false">
      <c r="A1738" s="12"/>
      <c r="B1738" s="13"/>
      <c r="C1738" s="13"/>
      <c r="D1738" s="13"/>
      <c r="E1738" s="7" t="str">
        <f aca="false">IF(D1738="","",IFERROR(INDEX(Materiali!$B:$B,MATCH(D1738,Materiali!$A:$A,0)),"codice?"))</f>
        <v/>
      </c>
      <c r="F1738" s="13"/>
      <c r="G1738" s="13"/>
      <c r="H1738" s="9" t="str">
        <f aca="false">IF(D1738="","",IFERROR(INDEX(Materiali!$C:$C,MATCH(D1738,Materiali!$A:$A,0)),0))</f>
        <v/>
      </c>
      <c r="I1738" s="9" t="str">
        <f aca="false">IF(OR(G1738="",H1738=""),"",IF(F1738="Uscita",-1,1)*G1738*H1738)</f>
        <v/>
      </c>
      <c r="J1738" s="13"/>
      <c r="K1738" s="13"/>
    </row>
    <row r="1739" customFormat="false" ht="15" hidden="false" customHeight="false" outlineLevel="0" collapsed="false">
      <c r="A1739" s="12"/>
      <c r="B1739" s="13"/>
      <c r="C1739" s="13"/>
      <c r="D1739" s="13"/>
      <c r="E1739" s="7" t="str">
        <f aca="false">IF(D1739="","",IFERROR(INDEX(Materiali!$B:$B,MATCH(D1739,Materiali!$A:$A,0)),"codice?"))</f>
        <v/>
      </c>
      <c r="F1739" s="13"/>
      <c r="G1739" s="13"/>
      <c r="H1739" s="9" t="str">
        <f aca="false">IF(D1739="","",IFERROR(INDEX(Materiali!$C:$C,MATCH(D1739,Materiali!$A:$A,0)),0))</f>
        <v/>
      </c>
      <c r="I1739" s="9" t="str">
        <f aca="false">IF(OR(G1739="",H1739=""),"",IF(F1739="Uscita",-1,1)*G1739*H1739)</f>
        <v/>
      </c>
      <c r="J1739" s="13"/>
      <c r="K1739" s="13"/>
    </row>
    <row r="1740" customFormat="false" ht="15" hidden="false" customHeight="false" outlineLevel="0" collapsed="false">
      <c r="A1740" s="12"/>
      <c r="B1740" s="13"/>
      <c r="C1740" s="13"/>
      <c r="D1740" s="13"/>
      <c r="E1740" s="7" t="str">
        <f aca="false">IF(D1740="","",IFERROR(INDEX(Materiali!$B:$B,MATCH(D1740,Materiali!$A:$A,0)),"codice?"))</f>
        <v/>
      </c>
      <c r="F1740" s="13"/>
      <c r="G1740" s="13"/>
      <c r="H1740" s="9" t="str">
        <f aca="false">IF(D1740="","",IFERROR(INDEX(Materiali!$C:$C,MATCH(D1740,Materiali!$A:$A,0)),0))</f>
        <v/>
      </c>
      <c r="I1740" s="9" t="str">
        <f aca="false">IF(OR(G1740="",H1740=""),"",IF(F1740="Uscita",-1,1)*G1740*H1740)</f>
        <v/>
      </c>
      <c r="J1740" s="13"/>
      <c r="K1740" s="13"/>
    </row>
    <row r="1741" customFormat="false" ht="15" hidden="false" customHeight="false" outlineLevel="0" collapsed="false">
      <c r="A1741" s="12"/>
      <c r="B1741" s="13"/>
      <c r="C1741" s="13"/>
      <c r="D1741" s="13"/>
      <c r="E1741" s="7" t="str">
        <f aca="false">IF(D1741="","",IFERROR(INDEX(Materiali!$B:$B,MATCH(D1741,Materiali!$A:$A,0)),"codice?"))</f>
        <v/>
      </c>
      <c r="F1741" s="13"/>
      <c r="G1741" s="13"/>
      <c r="H1741" s="9" t="str">
        <f aca="false">IF(D1741="","",IFERROR(INDEX(Materiali!$C:$C,MATCH(D1741,Materiali!$A:$A,0)),0))</f>
        <v/>
      </c>
      <c r="I1741" s="9" t="str">
        <f aca="false">IF(OR(G1741="",H1741=""),"",IF(F1741="Uscita",-1,1)*G1741*H1741)</f>
        <v/>
      </c>
      <c r="J1741" s="13"/>
      <c r="K1741" s="13"/>
    </row>
    <row r="1742" customFormat="false" ht="15" hidden="false" customHeight="false" outlineLevel="0" collapsed="false">
      <c r="A1742" s="12"/>
      <c r="B1742" s="13"/>
      <c r="C1742" s="13"/>
      <c r="D1742" s="13"/>
      <c r="E1742" s="7" t="str">
        <f aca="false">IF(D1742="","",IFERROR(INDEX(Materiali!$B:$B,MATCH(D1742,Materiali!$A:$A,0)),"codice?"))</f>
        <v/>
      </c>
      <c r="F1742" s="13"/>
      <c r="G1742" s="13"/>
      <c r="H1742" s="9" t="str">
        <f aca="false">IF(D1742="","",IFERROR(INDEX(Materiali!$C:$C,MATCH(D1742,Materiali!$A:$A,0)),0))</f>
        <v/>
      </c>
      <c r="I1742" s="9" t="str">
        <f aca="false">IF(OR(G1742="",H1742=""),"",IF(F1742="Uscita",-1,1)*G1742*H1742)</f>
        <v/>
      </c>
      <c r="J1742" s="13"/>
      <c r="K1742" s="13"/>
    </row>
    <row r="1743" customFormat="false" ht="15" hidden="false" customHeight="false" outlineLevel="0" collapsed="false">
      <c r="A1743" s="12"/>
      <c r="B1743" s="13"/>
      <c r="C1743" s="13"/>
      <c r="D1743" s="13"/>
      <c r="E1743" s="7" t="str">
        <f aca="false">IF(D1743="","",IFERROR(INDEX(Materiali!$B:$B,MATCH(D1743,Materiali!$A:$A,0)),"codice?"))</f>
        <v/>
      </c>
      <c r="F1743" s="13"/>
      <c r="G1743" s="13"/>
      <c r="H1743" s="9" t="str">
        <f aca="false">IF(D1743="","",IFERROR(INDEX(Materiali!$C:$C,MATCH(D1743,Materiali!$A:$A,0)),0))</f>
        <v/>
      </c>
      <c r="I1743" s="9" t="str">
        <f aca="false">IF(OR(G1743="",H1743=""),"",IF(F1743="Uscita",-1,1)*G1743*H1743)</f>
        <v/>
      </c>
      <c r="J1743" s="13"/>
      <c r="K1743" s="13"/>
    </row>
    <row r="1744" customFormat="false" ht="15" hidden="false" customHeight="false" outlineLevel="0" collapsed="false">
      <c r="A1744" s="12"/>
      <c r="B1744" s="13"/>
      <c r="C1744" s="13"/>
      <c r="D1744" s="13"/>
      <c r="E1744" s="7" t="str">
        <f aca="false">IF(D1744="","",IFERROR(INDEX(Materiali!$B:$B,MATCH(D1744,Materiali!$A:$A,0)),"codice?"))</f>
        <v/>
      </c>
      <c r="F1744" s="13"/>
      <c r="G1744" s="13"/>
      <c r="H1744" s="9" t="str">
        <f aca="false">IF(D1744="","",IFERROR(INDEX(Materiali!$C:$C,MATCH(D1744,Materiali!$A:$A,0)),0))</f>
        <v/>
      </c>
      <c r="I1744" s="9" t="str">
        <f aca="false">IF(OR(G1744="",H1744=""),"",IF(F1744="Uscita",-1,1)*G1744*H1744)</f>
        <v/>
      </c>
      <c r="J1744" s="13"/>
      <c r="K1744" s="13"/>
    </row>
    <row r="1745" customFormat="false" ht="15" hidden="false" customHeight="false" outlineLevel="0" collapsed="false">
      <c r="A1745" s="12"/>
      <c r="B1745" s="13"/>
      <c r="C1745" s="13"/>
      <c r="D1745" s="13"/>
      <c r="E1745" s="7" t="str">
        <f aca="false">IF(D1745="","",IFERROR(INDEX(Materiali!$B:$B,MATCH(D1745,Materiali!$A:$A,0)),"codice?"))</f>
        <v/>
      </c>
      <c r="F1745" s="13"/>
      <c r="G1745" s="13"/>
      <c r="H1745" s="9" t="str">
        <f aca="false">IF(D1745="","",IFERROR(INDEX(Materiali!$C:$C,MATCH(D1745,Materiali!$A:$A,0)),0))</f>
        <v/>
      </c>
      <c r="I1745" s="9" t="str">
        <f aca="false">IF(OR(G1745="",H1745=""),"",IF(F1745="Uscita",-1,1)*G1745*H1745)</f>
        <v/>
      </c>
      <c r="J1745" s="13"/>
      <c r="K1745" s="13"/>
    </row>
    <row r="1746" customFormat="false" ht="15" hidden="false" customHeight="false" outlineLevel="0" collapsed="false">
      <c r="A1746" s="12"/>
      <c r="B1746" s="13"/>
      <c r="C1746" s="13"/>
      <c r="D1746" s="13"/>
      <c r="E1746" s="7" t="str">
        <f aca="false">IF(D1746="","",IFERROR(INDEX(Materiali!$B:$B,MATCH(D1746,Materiali!$A:$A,0)),"codice?"))</f>
        <v/>
      </c>
      <c r="F1746" s="13"/>
      <c r="G1746" s="13"/>
      <c r="H1746" s="9" t="str">
        <f aca="false">IF(D1746="","",IFERROR(INDEX(Materiali!$C:$C,MATCH(D1746,Materiali!$A:$A,0)),0))</f>
        <v/>
      </c>
      <c r="I1746" s="9" t="str">
        <f aca="false">IF(OR(G1746="",H1746=""),"",IF(F1746="Uscita",-1,1)*G1746*H1746)</f>
        <v/>
      </c>
      <c r="J1746" s="13"/>
      <c r="K1746" s="13"/>
    </row>
    <row r="1747" customFormat="false" ht="15" hidden="false" customHeight="false" outlineLevel="0" collapsed="false">
      <c r="A1747" s="12"/>
      <c r="B1747" s="13"/>
      <c r="C1747" s="13"/>
      <c r="D1747" s="13"/>
      <c r="E1747" s="7" t="str">
        <f aca="false">IF(D1747="","",IFERROR(INDEX(Materiali!$B:$B,MATCH(D1747,Materiali!$A:$A,0)),"codice?"))</f>
        <v/>
      </c>
      <c r="F1747" s="13"/>
      <c r="G1747" s="13"/>
      <c r="H1747" s="9" t="str">
        <f aca="false">IF(D1747="","",IFERROR(INDEX(Materiali!$C:$C,MATCH(D1747,Materiali!$A:$A,0)),0))</f>
        <v/>
      </c>
      <c r="I1747" s="9" t="str">
        <f aca="false">IF(OR(G1747="",H1747=""),"",IF(F1747="Uscita",-1,1)*G1747*H1747)</f>
        <v/>
      </c>
      <c r="J1747" s="13"/>
      <c r="K1747" s="13"/>
    </row>
    <row r="1748" customFormat="false" ht="15" hidden="false" customHeight="false" outlineLevel="0" collapsed="false">
      <c r="A1748" s="12"/>
      <c r="B1748" s="13"/>
      <c r="C1748" s="13"/>
      <c r="D1748" s="13"/>
      <c r="E1748" s="7" t="str">
        <f aca="false">IF(D1748="","",IFERROR(INDEX(Materiali!$B:$B,MATCH(D1748,Materiali!$A:$A,0)),"codice?"))</f>
        <v/>
      </c>
      <c r="F1748" s="13"/>
      <c r="G1748" s="13"/>
      <c r="H1748" s="9" t="str">
        <f aca="false">IF(D1748="","",IFERROR(INDEX(Materiali!$C:$C,MATCH(D1748,Materiali!$A:$A,0)),0))</f>
        <v/>
      </c>
      <c r="I1748" s="9" t="str">
        <f aca="false">IF(OR(G1748="",H1748=""),"",IF(F1748="Uscita",-1,1)*G1748*H1748)</f>
        <v/>
      </c>
      <c r="J1748" s="13"/>
      <c r="K1748" s="13"/>
    </row>
    <row r="1749" customFormat="false" ht="15" hidden="false" customHeight="false" outlineLevel="0" collapsed="false">
      <c r="A1749" s="12"/>
      <c r="B1749" s="13"/>
      <c r="C1749" s="13"/>
      <c r="D1749" s="13"/>
      <c r="E1749" s="7" t="str">
        <f aca="false">IF(D1749="","",IFERROR(INDEX(Materiali!$B:$B,MATCH(D1749,Materiali!$A:$A,0)),"codice?"))</f>
        <v/>
      </c>
      <c r="F1749" s="13"/>
      <c r="G1749" s="13"/>
      <c r="H1749" s="9" t="str">
        <f aca="false">IF(D1749="","",IFERROR(INDEX(Materiali!$C:$C,MATCH(D1749,Materiali!$A:$A,0)),0))</f>
        <v/>
      </c>
      <c r="I1749" s="9" t="str">
        <f aca="false">IF(OR(G1749="",H1749=""),"",IF(F1749="Uscita",-1,1)*G1749*H1749)</f>
        <v/>
      </c>
      <c r="J1749" s="13"/>
      <c r="K1749" s="13"/>
    </row>
    <row r="1750" customFormat="false" ht="15" hidden="false" customHeight="false" outlineLevel="0" collapsed="false">
      <c r="A1750" s="12"/>
      <c r="B1750" s="13"/>
      <c r="C1750" s="13"/>
      <c r="D1750" s="13"/>
      <c r="E1750" s="7" t="str">
        <f aca="false">IF(D1750="","",IFERROR(INDEX(Materiali!$B:$B,MATCH(D1750,Materiali!$A:$A,0)),"codice?"))</f>
        <v/>
      </c>
      <c r="F1750" s="13"/>
      <c r="G1750" s="13"/>
      <c r="H1750" s="9" t="str">
        <f aca="false">IF(D1750="","",IFERROR(INDEX(Materiali!$C:$C,MATCH(D1750,Materiali!$A:$A,0)),0))</f>
        <v/>
      </c>
      <c r="I1750" s="9" t="str">
        <f aca="false">IF(OR(G1750="",H1750=""),"",IF(F1750="Uscita",-1,1)*G1750*H1750)</f>
        <v/>
      </c>
      <c r="J1750" s="13"/>
      <c r="K1750" s="13"/>
    </row>
    <row r="1751" customFormat="false" ht="15" hidden="false" customHeight="false" outlineLevel="0" collapsed="false">
      <c r="A1751" s="12"/>
      <c r="B1751" s="13"/>
      <c r="C1751" s="13"/>
      <c r="D1751" s="13"/>
      <c r="E1751" s="7" t="str">
        <f aca="false">IF(D1751="","",IFERROR(INDEX(Materiali!$B:$B,MATCH(D1751,Materiali!$A:$A,0)),"codice?"))</f>
        <v/>
      </c>
      <c r="F1751" s="13"/>
      <c r="G1751" s="13"/>
      <c r="H1751" s="9" t="str">
        <f aca="false">IF(D1751="","",IFERROR(INDEX(Materiali!$C:$C,MATCH(D1751,Materiali!$A:$A,0)),0))</f>
        <v/>
      </c>
      <c r="I1751" s="9" t="str">
        <f aca="false">IF(OR(G1751="",H1751=""),"",IF(F1751="Uscita",-1,1)*G1751*H1751)</f>
        <v/>
      </c>
      <c r="J1751" s="13"/>
      <c r="K1751" s="13"/>
    </row>
    <row r="1752" customFormat="false" ht="15" hidden="false" customHeight="false" outlineLevel="0" collapsed="false">
      <c r="A1752" s="12"/>
      <c r="B1752" s="13"/>
      <c r="C1752" s="13"/>
      <c r="D1752" s="13"/>
      <c r="E1752" s="7" t="str">
        <f aca="false">IF(D1752="","",IFERROR(INDEX(Materiali!$B:$B,MATCH(D1752,Materiali!$A:$A,0)),"codice?"))</f>
        <v/>
      </c>
      <c r="F1752" s="13"/>
      <c r="G1752" s="13"/>
      <c r="H1752" s="9" t="str">
        <f aca="false">IF(D1752="","",IFERROR(INDEX(Materiali!$C:$C,MATCH(D1752,Materiali!$A:$A,0)),0))</f>
        <v/>
      </c>
      <c r="I1752" s="9" t="str">
        <f aca="false">IF(OR(G1752="",H1752=""),"",IF(F1752="Uscita",-1,1)*G1752*H1752)</f>
        <v/>
      </c>
      <c r="J1752" s="13"/>
      <c r="K1752" s="13"/>
    </row>
    <row r="1753" customFormat="false" ht="15" hidden="false" customHeight="false" outlineLevel="0" collapsed="false">
      <c r="A1753" s="12"/>
      <c r="B1753" s="13"/>
      <c r="C1753" s="13"/>
      <c r="D1753" s="13"/>
      <c r="E1753" s="7" t="str">
        <f aca="false">IF(D1753="","",IFERROR(INDEX(Materiali!$B:$B,MATCH(D1753,Materiali!$A:$A,0)),"codice?"))</f>
        <v/>
      </c>
      <c r="F1753" s="13"/>
      <c r="G1753" s="13"/>
      <c r="H1753" s="9" t="str">
        <f aca="false">IF(D1753="","",IFERROR(INDEX(Materiali!$C:$C,MATCH(D1753,Materiali!$A:$A,0)),0))</f>
        <v/>
      </c>
      <c r="I1753" s="9" t="str">
        <f aca="false">IF(OR(G1753="",H1753=""),"",IF(F1753="Uscita",-1,1)*G1753*H1753)</f>
        <v/>
      </c>
      <c r="J1753" s="13"/>
      <c r="K1753" s="13"/>
    </row>
    <row r="1754" customFormat="false" ht="15" hidden="false" customHeight="false" outlineLevel="0" collapsed="false">
      <c r="A1754" s="12"/>
      <c r="B1754" s="13"/>
      <c r="C1754" s="13"/>
      <c r="D1754" s="13"/>
      <c r="E1754" s="7" t="str">
        <f aca="false">IF(D1754="","",IFERROR(INDEX(Materiali!$B:$B,MATCH(D1754,Materiali!$A:$A,0)),"codice?"))</f>
        <v/>
      </c>
      <c r="F1754" s="13"/>
      <c r="G1754" s="13"/>
      <c r="H1754" s="9" t="str">
        <f aca="false">IF(D1754="","",IFERROR(INDEX(Materiali!$C:$C,MATCH(D1754,Materiali!$A:$A,0)),0))</f>
        <v/>
      </c>
      <c r="I1754" s="9" t="str">
        <f aca="false">IF(OR(G1754="",H1754=""),"",IF(F1754="Uscita",-1,1)*G1754*H1754)</f>
        <v/>
      </c>
      <c r="J1754" s="13"/>
      <c r="K1754" s="13"/>
    </row>
    <row r="1755" customFormat="false" ht="15" hidden="false" customHeight="false" outlineLevel="0" collapsed="false">
      <c r="A1755" s="12"/>
      <c r="B1755" s="13"/>
      <c r="C1755" s="13"/>
      <c r="D1755" s="13"/>
      <c r="E1755" s="7" t="str">
        <f aca="false">IF(D1755="","",IFERROR(INDEX(Materiali!$B:$B,MATCH(D1755,Materiali!$A:$A,0)),"codice?"))</f>
        <v/>
      </c>
      <c r="F1755" s="13"/>
      <c r="G1755" s="13"/>
      <c r="H1755" s="9" t="str">
        <f aca="false">IF(D1755="","",IFERROR(INDEX(Materiali!$C:$C,MATCH(D1755,Materiali!$A:$A,0)),0))</f>
        <v/>
      </c>
      <c r="I1755" s="9" t="str">
        <f aca="false">IF(OR(G1755="",H1755=""),"",IF(F1755="Uscita",-1,1)*G1755*H1755)</f>
        <v/>
      </c>
      <c r="J1755" s="13"/>
      <c r="K1755" s="13"/>
    </row>
    <row r="1756" customFormat="false" ht="15" hidden="false" customHeight="false" outlineLevel="0" collapsed="false">
      <c r="A1756" s="12"/>
      <c r="B1756" s="13"/>
      <c r="C1756" s="13"/>
      <c r="D1756" s="13"/>
      <c r="E1756" s="7" t="str">
        <f aca="false">IF(D1756="","",IFERROR(INDEX(Materiali!$B:$B,MATCH(D1756,Materiali!$A:$A,0)),"codice?"))</f>
        <v/>
      </c>
      <c r="F1756" s="13"/>
      <c r="G1756" s="13"/>
      <c r="H1756" s="9" t="str">
        <f aca="false">IF(D1756="","",IFERROR(INDEX(Materiali!$C:$C,MATCH(D1756,Materiali!$A:$A,0)),0))</f>
        <v/>
      </c>
      <c r="I1756" s="9" t="str">
        <f aca="false">IF(OR(G1756="",H1756=""),"",IF(F1756="Uscita",-1,1)*G1756*H1756)</f>
        <v/>
      </c>
      <c r="J1756" s="13"/>
      <c r="K1756" s="13"/>
    </row>
    <row r="1757" customFormat="false" ht="15" hidden="false" customHeight="false" outlineLevel="0" collapsed="false">
      <c r="A1757" s="12"/>
      <c r="B1757" s="13"/>
      <c r="C1757" s="13"/>
      <c r="D1757" s="13"/>
      <c r="E1757" s="7" t="str">
        <f aca="false">IF(D1757="","",IFERROR(INDEX(Materiali!$B:$B,MATCH(D1757,Materiali!$A:$A,0)),"codice?"))</f>
        <v/>
      </c>
      <c r="F1757" s="13"/>
      <c r="G1757" s="13"/>
      <c r="H1757" s="9" t="str">
        <f aca="false">IF(D1757="","",IFERROR(INDEX(Materiali!$C:$C,MATCH(D1757,Materiali!$A:$A,0)),0))</f>
        <v/>
      </c>
      <c r="I1757" s="9" t="str">
        <f aca="false">IF(OR(G1757="",H1757=""),"",IF(F1757="Uscita",-1,1)*G1757*H1757)</f>
        <v/>
      </c>
      <c r="J1757" s="13"/>
      <c r="K1757" s="13"/>
    </row>
    <row r="1758" customFormat="false" ht="15" hidden="false" customHeight="false" outlineLevel="0" collapsed="false">
      <c r="A1758" s="12"/>
      <c r="B1758" s="13"/>
      <c r="C1758" s="13"/>
      <c r="D1758" s="13"/>
      <c r="E1758" s="7" t="str">
        <f aca="false">IF(D1758="","",IFERROR(INDEX(Materiali!$B:$B,MATCH(D1758,Materiali!$A:$A,0)),"codice?"))</f>
        <v/>
      </c>
      <c r="F1758" s="13"/>
      <c r="G1758" s="13"/>
      <c r="H1758" s="9" t="str">
        <f aca="false">IF(D1758="","",IFERROR(INDEX(Materiali!$C:$C,MATCH(D1758,Materiali!$A:$A,0)),0))</f>
        <v/>
      </c>
      <c r="I1758" s="9" t="str">
        <f aca="false">IF(OR(G1758="",H1758=""),"",IF(F1758="Uscita",-1,1)*G1758*H1758)</f>
        <v/>
      </c>
      <c r="J1758" s="13"/>
      <c r="K1758" s="13"/>
    </row>
    <row r="1759" customFormat="false" ht="15" hidden="false" customHeight="false" outlineLevel="0" collapsed="false">
      <c r="A1759" s="12"/>
      <c r="B1759" s="13"/>
      <c r="C1759" s="13"/>
      <c r="D1759" s="13"/>
      <c r="E1759" s="7" t="str">
        <f aca="false">IF(D1759="","",IFERROR(INDEX(Materiali!$B:$B,MATCH(D1759,Materiali!$A:$A,0)),"codice?"))</f>
        <v/>
      </c>
      <c r="F1759" s="13"/>
      <c r="G1759" s="13"/>
      <c r="H1759" s="9" t="str">
        <f aca="false">IF(D1759="","",IFERROR(INDEX(Materiali!$C:$C,MATCH(D1759,Materiali!$A:$A,0)),0))</f>
        <v/>
      </c>
      <c r="I1759" s="9" t="str">
        <f aca="false">IF(OR(G1759="",H1759=""),"",IF(F1759="Uscita",-1,1)*G1759*H1759)</f>
        <v/>
      </c>
      <c r="J1759" s="13"/>
      <c r="K1759" s="13"/>
    </row>
    <row r="1760" customFormat="false" ht="15" hidden="false" customHeight="false" outlineLevel="0" collapsed="false">
      <c r="A1760" s="12"/>
      <c r="B1760" s="13"/>
      <c r="C1760" s="13"/>
      <c r="D1760" s="13"/>
      <c r="E1760" s="7" t="str">
        <f aca="false">IF(D1760="","",IFERROR(INDEX(Materiali!$B:$B,MATCH(D1760,Materiali!$A:$A,0)),"codice?"))</f>
        <v/>
      </c>
      <c r="F1760" s="13"/>
      <c r="G1760" s="13"/>
      <c r="H1760" s="9" t="str">
        <f aca="false">IF(D1760="","",IFERROR(INDEX(Materiali!$C:$C,MATCH(D1760,Materiali!$A:$A,0)),0))</f>
        <v/>
      </c>
      <c r="I1760" s="9" t="str">
        <f aca="false">IF(OR(G1760="",H1760=""),"",IF(F1760="Uscita",-1,1)*G1760*H1760)</f>
        <v/>
      </c>
      <c r="J1760" s="13"/>
      <c r="K1760" s="13"/>
    </row>
    <row r="1761" customFormat="false" ht="15" hidden="false" customHeight="false" outlineLevel="0" collapsed="false">
      <c r="A1761" s="12"/>
      <c r="B1761" s="13"/>
      <c r="C1761" s="13"/>
      <c r="D1761" s="13"/>
      <c r="E1761" s="7" t="str">
        <f aca="false">IF(D1761="","",IFERROR(INDEX(Materiali!$B:$B,MATCH(D1761,Materiali!$A:$A,0)),"codice?"))</f>
        <v/>
      </c>
      <c r="F1761" s="13"/>
      <c r="G1761" s="13"/>
      <c r="H1761" s="9" t="str">
        <f aca="false">IF(D1761="","",IFERROR(INDEX(Materiali!$C:$C,MATCH(D1761,Materiali!$A:$A,0)),0))</f>
        <v/>
      </c>
      <c r="I1761" s="9" t="str">
        <f aca="false">IF(OR(G1761="",H1761=""),"",IF(F1761="Uscita",-1,1)*G1761*H1761)</f>
        <v/>
      </c>
      <c r="J1761" s="13"/>
      <c r="K1761" s="13"/>
    </row>
    <row r="1762" customFormat="false" ht="15" hidden="false" customHeight="false" outlineLevel="0" collapsed="false">
      <c r="A1762" s="12"/>
      <c r="B1762" s="13"/>
      <c r="C1762" s="13"/>
      <c r="D1762" s="13"/>
      <c r="E1762" s="7" t="str">
        <f aca="false">IF(D1762="","",IFERROR(INDEX(Materiali!$B:$B,MATCH(D1762,Materiali!$A:$A,0)),"codice?"))</f>
        <v/>
      </c>
      <c r="F1762" s="13"/>
      <c r="G1762" s="13"/>
      <c r="H1762" s="9" t="str">
        <f aca="false">IF(D1762="","",IFERROR(INDEX(Materiali!$C:$C,MATCH(D1762,Materiali!$A:$A,0)),0))</f>
        <v/>
      </c>
      <c r="I1762" s="9" t="str">
        <f aca="false">IF(OR(G1762="",H1762=""),"",IF(F1762="Uscita",-1,1)*G1762*H1762)</f>
        <v/>
      </c>
      <c r="J1762" s="13"/>
      <c r="K1762" s="13"/>
    </row>
    <row r="1763" customFormat="false" ht="15" hidden="false" customHeight="false" outlineLevel="0" collapsed="false">
      <c r="A1763" s="12"/>
      <c r="B1763" s="13"/>
      <c r="C1763" s="13"/>
      <c r="D1763" s="13"/>
      <c r="E1763" s="7" t="str">
        <f aca="false">IF(D1763="","",IFERROR(INDEX(Materiali!$B:$B,MATCH(D1763,Materiali!$A:$A,0)),"codice?"))</f>
        <v/>
      </c>
      <c r="F1763" s="13"/>
      <c r="G1763" s="13"/>
      <c r="H1763" s="9" t="str">
        <f aca="false">IF(D1763="","",IFERROR(INDEX(Materiali!$C:$C,MATCH(D1763,Materiali!$A:$A,0)),0))</f>
        <v/>
      </c>
      <c r="I1763" s="9" t="str">
        <f aca="false">IF(OR(G1763="",H1763=""),"",IF(F1763="Uscita",-1,1)*G1763*H1763)</f>
        <v/>
      </c>
      <c r="J1763" s="13"/>
      <c r="K1763" s="13"/>
    </row>
    <row r="1764" customFormat="false" ht="15" hidden="false" customHeight="false" outlineLevel="0" collapsed="false">
      <c r="A1764" s="12"/>
      <c r="B1764" s="13"/>
      <c r="C1764" s="13"/>
      <c r="D1764" s="13"/>
      <c r="E1764" s="7" t="str">
        <f aca="false">IF(D1764="","",IFERROR(INDEX(Materiali!$B:$B,MATCH(D1764,Materiali!$A:$A,0)),"codice?"))</f>
        <v/>
      </c>
      <c r="F1764" s="13"/>
      <c r="G1764" s="13"/>
      <c r="H1764" s="9" t="str">
        <f aca="false">IF(D1764="","",IFERROR(INDEX(Materiali!$C:$C,MATCH(D1764,Materiali!$A:$A,0)),0))</f>
        <v/>
      </c>
      <c r="I1764" s="9" t="str">
        <f aca="false">IF(OR(G1764="",H1764=""),"",IF(F1764="Uscita",-1,1)*G1764*H1764)</f>
        <v/>
      </c>
      <c r="J1764" s="13"/>
      <c r="K1764" s="13"/>
    </row>
    <row r="1765" customFormat="false" ht="15" hidden="false" customHeight="false" outlineLevel="0" collapsed="false">
      <c r="A1765" s="12"/>
      <c r="B1765" s="13"/>
      <c r="C1765" s="13"/>
      <c r="D1765" s="13"/>
      <c r="E1765" s="7" t="str">
        <f aca="false">IF(D1765="","",IFERROR(INDEX(Materiali!$B:$B,MATCH(D1765,Materiali!$A:$A,0)),"codice?"))</f>
        <v/>
      </c>
      <c r="F1765" s="13"/>
      <c r="G1765" s="13"/>
      <c r="H1765" s="9" t="str">
        <f aca="false">IF(D1765="","",IFERROR(INDEX(Materiali!$C:$C,MATCH(D1765,Materiali!$A:$A,0)),0))</f>
        <v/>
      </c>
      <c r="I1765" s="9" t="str">
        <f aca="false">IF(OR(G1765="",H1765=""),"",IF(F1765="Uscita",-1,1)*G1765*H1765)</f>
        <v/>
      </c>
      <c r="J1765" s="13"/>
      <c r="K1765" s="13"/>
    </row>
    <row r="1766" customFormat="false" ht="15" hidden="false" customHeight="false" outlineLevel="0" collapsed="false">
      <c r="A1766" s="12"/>
      <c r="B1766" s="13"/>
      <c r="C1766" s="13"/>
      <c r="D1766" s="13"/>
      <c r="E1766" s="7" t="str">
        <f aca="false">IF(D1766="","",IFERROR(INDEX(Materiali!$B:$B,MATCH(D1766,Materiali!$A:$A,0)),"codice?"))</f>
        <v/>
      </c>
      <c r="F1766" s="13"/>
      <c r="G1766" s="13"/>
      <c r="H1766" s="9" t="str">
        <f aca="false">IF(D1766="","",IFERROR(INDEX(Materiali!$C:$C,MATCH(D1766,Materiali!$A:$A,0)),0))</f>
        <v/>
      </c>
      <c r="I1766" s="9" t="str">
        <f aca="false">IF(OR(G1766="",H1766=""),"",IF(F1766="Uscita",-1,1)*G1766*H1766)</f>
        <v/>
      </c>
      <c r="J1766" s="13"/>
      <c r="K1766" s="13"/>
    </row>
    <row r="1767" customFormat="false" ht="15" hidden="false" customHeight="false" outlineLevel="0" collapsed="false">
      <c r="A1767" s="12"/>
      <c r="B1767" s="13"/>
      <c r="C1767" s="13"/>
      <c r="D1767" s="13"/>
      <c r="E1767" s="7" t="str">
        <f aca="false">IF(D1767="","",IFERROR(INDEX(Materiali!$B:$B,MATCH(D1767,Materiali!$A:$A,0)),"codice?"))</f>
        <v/>
      </c>
      <c r="F1767" s="13"/>
      <c r="G1767" s="13"/>
      <c r="H1767" s="9" t="str">
        <f aca="false">IF(D1767="","",IFERROR(INDEX(Materiali!$C:$C,MATCH(D1767,Materiali!$A:$A,0)),0))</f>
        <v/>
      </c>
      <c r="I1767" s="9" t="str">
        <f aca="false">IF(OR(G1767="",H1767=""),"",IF(F1767="Uscita",-1,1)*G1767*H1767)</f>
        <v/>
      </c>
      <c r="J1767" s="13"/>
      <c r="K1767" s="13"/>
    </row>
    <row r="1768" customFormat="false" ht="15" hidden="false" customHeight="false" outlineLevel="0" collapsed="false">
      <c r="A1768" s="12"/>
      <c r="B1768" s="13"/>
      <c r="C1768" s="13"/>
      <c r="D1768" s="13"/>
      <c r="E1768" s="7" t="str">
        <f aca="false">IF(D1768="","",IFERROR(INDEX(Materiali!$B:$B,MATCH(D1768,Materiali!$A:$A,0)),"codice?"))</f>
        <v/>
      </c>
      <c r="F1768" s="13"/>
      <c r="G1768" s="13"/>
      <c r="H1768" s="9" t="str">
        <f aca="false">IF(D1768="","",IFERROR(INDEX(Materiali!$C:$C,MATCH(D1768,Materiali!$A:$A,0)),0))</f>
        <v/>
      </c>
      <c r="I1768" s="9" t="str">
        <f aca="false">IF(OR(G1768="",H1768=""),"",IF(F1768="Uscita",-1,1)*G1768*H1768)</f>
        <v/>
      </c>
      <c r="J1768" s="13"/>
      <c r="K1768" s="13"/>
    </row>
    <row r="1769" customFormat="false" ht="15" hidden="false" customHeight="false" outlineLevel="0" collapsed="false">
      <c r="A1769" s="12"/>
      <c r="B1769" s="13"/>
      <c r="C1769" s="13"/>
      <c r="D1769" s="13"/>
      <c r="E1769" s="7" t="str">
        <f aca="false">IF(D1769="","",IFERROR(INDEX(Materiali!$B:$B,MATCH(D1769,Materiali!$A:$A,0)),"codice?"))</f>
        <v/>
      </c>
      <c r="F1769" s="13"/>
      <c r="G1769" s="13"/>
      <c r="H1769" s="9" t="str">
        <f aca="false">IF(D1769="","",IFERROR(INDEX(Materiali!$C:$C,MATCH(D1769,Materiali!$A:$A,0)),0))</f>
        <v/>
      </c>
      <c r="I1769" s="9" t="str">
        <f aca="false">IF(OR(G1769="",H1769=""),"",IF(F1769="Uscita",-1,1)*G1769*H1769)</f>
        <v/>
      </c>
      <c r="J1769" s="13"/>
      <c r="K1769" s="13"/>
    </row>
    <row r="1770" customFormat="false" ht="15" hidden="false" customHeight="false" outlineLevel="0" collapsed="false">
      <c r="A1770" s="12"/>
      <c r="B1770" s="13"/>
      <c r="C1770" s="13"/>
      <c r="D1770" s="13"/>
      <c r="E1770" s="7" t="str">
        <f aca="false">IF(D1770="","",IFERROR(INDEX(Materiali!$B:$B,MATCH(D1770,Materiali!$A:$A,0)),"codice?"))</f>
        <v/>
      </c>
      <c r="F1770" s="13"/>
      <c r="G1770" s="13"/>
      <c r="H1770" s="9" t="str">
        <f aca="false">IF(D1770="","",IFERROR(INDEX(Materiali!$C:$C,MATCH(D1770,Materiali!$A:$A,0)),0))</f>
        <v/>
      </c>
      <c r="I1770" s="9" t="str">
        <f aca="false">IF(OR(G1770="",H1770=""),"",IF(F1770="Uscita",-1,1)*G1770*H1770)</f>
        <v/>
      </c>
      <c r="J1770" s="13"/>
      <c r="K1770" s="13"/>
    </row>
    <row r="1771" customFormat="false" ht="15" hidden="false" customHeight="false" outlineLevel="0" collapsed="false">
      <c r="A1771" s="12"/>
      <c r="B1771" s="13"/>
      <c r="C1771" s="13"/>
      <c r="D1771" s="13"/>
      <c r="E1771" s="7" t="str">
        <f aca="false">IF(D1771="","",IFERROR(INDEX(Materiali!$B:$B,MATCH(D1771,Materiali!$A:$A,0)),"codice?"))</f>
        <v/>
      </c>
      <c r="F1771" s="13"/>
      <c r="G1771" s="13"/>
      <c r="H1771" s="9" t="str">
        <f aca="false">IF(D1771="","",IFERROR(INDEX(Materiali!$C:$C,MATCH(D1771,Materiali!$A:$A,0)),0))</f>
        <v/>
      </c>
      <c r="I1771" s="9" t="str">
        <f aca="false">IF(OR(G1771="",H1771=""),"",IF(F1771="Uscita",-1,1)*G1771*H1771)</f>
        <v/>
      </c>
      <c r="J1771" s="13"/>
      <c r="K1771" s="13"/>
    </row>
    <row r="1772" customFormat="false" ht="15" hidden="false" customHeight="false" outlineLevel="0" collapsed="false">
      <c r="A1772" s="12"/>
      <c r="B1772" s="13"/>
      <c r="C1772" s="13"/>
      <c r="D1772" s="13"/>
      <c r="E1772" s="7" t="str">
        <f aca="false">IF(D1772="","",IFERROR(INDEX(Materiali!$B:$B,MATCH(D1772,Materiali!$A:$A,0)),"codice?"))</f>
        <v/>
      </c>
      <c r="F1772" s="13"/>
      <c r="G1772" s="13"/>
      <c r="H1772" s="9" t="str">
        <f aca="false">IF(D1772="","",IFERROR(INDEX(Materiali!$C:$C,MATCH(D1772,Materiali!$A:$A,0)),0))</f>
        <v/>
      </c>
      <c r="I1772" s="9" t="str">
        <f aca="false">IF(OR(G1772="",H1772=""),"",IF(F1772="Uscita",-1,1)*G1772*H1772)</f>
        <v/>
      </c>
      <c r="J1772" s="13"/>
      <c r="K1772" s="13"/>
    </row>
    <row r="1773" customFormat="false" ht="15" hidden="false" customHeight="false" outlineLevel="0" collapsed="false">
      <c r="A1773" s="12"/>
      <c r="B1773" s="13"/>
      <c r="C1773" s="13"/>
      <c r="D1773" s="13"/>
      <c r="E1773" s="7" t="str">
        <f aca="false">IF(D1773="","",IFERROR(INDEX(Materiali!$B:$B,MATCH(D1773,Materiali!$A:$A,0)),"codice?"))</f>
        <v/>
      </c>
      <c r="F1773" s="13"/>
      <c r="G1773" s="13"/>
      <c r="H1773" s="9" t="str">
        <f aca="false">IF(D1773="","",IFERROR(INDEX(Materiali!$C:$C,MATCH(D1773,Materiali!$A:$A,0)),0))</f>
        <v/>
      </c>
      <c r="I1773" s="9" t="str">
        <f aca="false">IF(OR(G1773="",H1773=""),"",IF(F1773="Uscita",-1,1)*G1773*H1773)</f>
        <v/>
      </c>
      <c r="J1773" s="13"/>
      <c r="K1773" s="13"/>
    </row>
    <row r="1774" customFormat="false" ht="15" hidden="false" customHeight="false" outlineLevel="0" collapsed="false">
      <c r="A1774" s="12"/>
      <c r="B1774" s="13"/>
      <c r="C1774" s="13"/>
      <c r="D1774" s="13"/>
      <c r="E1774" s="7" t="str">
        <f aca="false">IF(D1774="","",IFERROR(INDEX(Materiali!$B:$B,MATCH(D1774,Materiali!$A:$A,0)),"codice?"))</f>
        <v/>
      </c>
      <c r="F1774" s="13"/>
      <c r="G1774" s="13"/>
      <c r="H1774" s="9" t="str">
        <f aca="false">IF(D1774="","",IFERROR(INDEX(Materiali!$C:$C,MATCH(D1774,Materiali!$A:$A,0)),0))</f>
        <v/>
      </c>
      <c r="I1774" s="9" t="str">
        <f aca="false">IF(OR(G1774="",H1774=""),"",IF(F1774="Uscita",-1,1)*G1774*H1774)</f>
        <v/>
      </c>
      <c r="J1774" s="13"/>
      <c r="K1774" s="13"/>
    </row>
    <row r="1775" customFormat="false" ht="15" hidden="false" customHeight="false" outlineLevel="0" collapsed="false">
      <c r="A1775" s="12"/>
      <c r="B1775" s="13"/>
      <c r="C1775" s="13"/>
      <c r="D1775" s="13"/>
      <c r="E1775" s="7" t="str">
        <f aca="false">IF(D1775="","",IFERROR(INDEX(Materiali!$B:$B,MATCH(D1775,Materiali!$A:$A,0)),"codice?"))</f>
        <v/>
      </c>
      <c r="F1775" s="13"/>
      <c r="G1775" s="13"/>
      <c r="H1775" s="9" t="str">
        <f aca="false">IF(D1775="","",IFERROR(INDEX(Materiali!$C:$C,MATCH(D1775,Materiali!$A:$A,0)),0))</f>
        <v/>
      </c>
      <c r="I1775" s="9" t="str">
        <f aca="false">IF(OR(G1775="",H1775=""),"",IF(F1775="Uscita",-1,1)*G1775*H1775)</f>
        <v/>
      </c>
      <c r="J1775" s="13"/>
      <c r="K1775" s="13"/>
    </row>
    <row r="1776" customFormat="false" ht="15" hidden="false" customHeight="false" outlineLevel="0" collapsed="false">
      <c r="A1776" s="12"/>
      <c r="B1776" s="13"/>
      <c r="C1776" s="13"/>
      <c r="D1776" s="13"/>
      <c r="E1776" s="7" t="str">
        <f aca="false">IF(D1776="","",IFERROR(INDEX(Materiali!$B:$B,MATCH(D1776,Materiali!$A:$A,0)),"codice?"))</f>
        <v/>
      </c>
      <c r="F1776" s="13"/>
      <c r="G1776" s="13"/>
      <c r="H1776" s="9" t="str">
        <f aca="false">IF(D1776="","",IFERROR(INDEX(Materiali!$C:$C,MATCH(D1776,Materiali!$A:$A,0)),0))</f>
        <v/>
      </c>
      <c r="I1776" s="9" t="str">
        <f aca="false">IF(OR(G1776="",H1776=""),"",IF(F1776="Uscita",-1,1)*G1776*H1776)</f>
        <v/>
      </c>
      <c r="J1776" s="13"/>
      <c r="K1776" s="13"/>
    </row>
    <row r="1777" customFormat="false" ht="15" hidden="false" customHeight="false" outlineLevel="0" collapsed="false">
      <c r="A1777" s="12"/>
      <c r="B1777" s="13"/>
      <c r="C1777" s="13"/>
      <c r="D1777" s="13"/>
      <c r="E1777" s="7" t="str">
        <f aca="false">IF(D1777="","",IFERROR(INDEX(Materiali!$B:$B,MATCH(D1777,Materiali!$A:$A,0)),"codice?"))</f>
        <v/>
      </c>
      <c r="F1777" s="13"/>
      <c r="G1777" s="13"/>
      <c r="H1777" s="9" t="str">
        <f aca="false">IF(D1777="","",IFERROR(INDEX(Materiali!$C:$C,MATCH(D1777,Materiali!$A:$A,0)),0))</f>
        <v/>
      </c>
      <c r="I1777" s="9" t="str">
        <f aca="false">IF(OR(G1777="",H1777=""),"",IF(F1777="Uscita",-1,1)*G1777*H1777)</f>
        <v/>
      </c>
      <c r="J1777" s="13"/>
      <c r="K1777" s="13"/>
    </row>
    <row r="1778" customFormat="false" ht="15" hidden="false" customHeight="false" outlineLevel="0" collapsed="false">
      <c r="A1778" s="12"/>
      <c r="B1778" s="13"/>
      <c r="C1778" s="13"/>
      <c r="D1778" s="13"/>
      <c r="E1778" s="7" t="str">
        <f aca="false">IF(D1778="","",IFERROR(INDEX(Materiali!$B:$B,MATCH(D1778,Materiali!$A:$A,0)),"codice?"))</f>
        <v/>
      </c>
      <c r="F1778" s="13"/>
      <c r="G1778" s="13"/>
      <c r="H1778" s="9" t="str">
        <f aca="false">IF(D1778="","",IFERROR(INDEX(Materiali!$C:$C,MATCH(D1778,Materiali!$A:$A,0)),0))</f>
        <v/>
      </c>
      <c r="I1778" s="9" t="str">
        <f aca="false">IF(OR(G1778="",H1778=""),"",IF(F1778="Uscita",-1,1)*G1778*H1778)</f>
        <v/>
      </c>
      <c r="J1778" s="13"/>
      <c r="K1778" s="13"/>
    </row>
    <row r="1779" customFormat="false" ht="15" hidden="false" customHeight="false" outlineLevel="0" collapsed="false">
      <c r="A1779" s="12"/>
      <c r="B1779" s="13"/>
      <c r="C1779" s="13"/>
      <c r="D1779" s="13"/>
      <c r="E1779" s="7" t="str">
        <f aca="false">IF(D1779="","",IFERROR(INDEX(Materiali!$B:$B,MATCH(D1779,Materiali!$A:$A,0)),"codice?"))</f>
        <v/>
      </c>
      <c r="F1779" s="13"/>
      <c r="G1779" s="13"/>
      <c r="H1779" s="9" t="str">
        <f aca="false">IF(D1779="","",IFERROR(INDEX(Materiali!$C:$C,MATCH(D1779,Materiali!$A:$A,0)),0))</f>
        <v/>
      </c>
      <c r="I1779" s="9" t="str">
        <f aca="false">IF(OR(G1779="",H1779=""),"",IF(F1779="Uscita",-1,1)*G1779*H1779)</f>
        <v/>
      </c>
      <c r="J1779" s="13"/>
      <c r="K1779" s="13"/>
    </row>
    <row r="1780" customFormat="false" ht="15" hidden="false" customHeight="false" outlineLevel="0" collapsed="false">
      <c r="A1780" s="12"/>
      <c r="B1780" s="13"/>
      <c r="C1780" s="13"/>
      <c r="D1780" s="13"/>
      <c r="E1780" s="7" t="str">
        <f aca="false">IF(D1780="","",IFERROR(INDEX(Materiali!$B:$B,MATCH(D1780,Materiali!$A:$A,0)),"codice?"))</f>
        <v/>
      </c>
      <c r="F1780" s="13"/>
      <c r="G1780" s="13"/>
      <c r="H1780" s="9" t="str">
        <f aca="false">IF(D1780="","",IFERROR(INDEX(Materiali!$C:$C,MATCH(D1780,Materiali!$A:$A,0)),0))</f>
        <v/>
      </c>
      <c r="I1780" s="9" t="str">
        <f aca="false">IF(OR(G1780="",H1780=""),"",IF(F1780="Uscita",-1,1)*G1780*H1780)</f>
        <v/>
      </c>
      <c r="J1780" s="13"/>
      <c r="K1780" s="13"/>
    </row>
    <row r="1781" customFormat="false" ht="15" hidden="false" customHeight="false" outlineLevel="0" collapsed="false">
      <c r="A1781" s="12"/>
      <c r="B1781" s="13"/>
      <c r="C1781" s="13"/>
      <c r="D1781" s="13"/>
      <c r="E1781" s="7" t="str">
        <f aca="false">IF(D1781="","",IFERROR(INDEX(Materiali!$B:$B,MATCH(D1781,Materiali!$A:$A,0)),"codice?"))</f>
        <v/>
      </c>
      <c r="F1781" s="13"/>
      <c r="G1781" s="13"/>
      <c r="H1781" s="9" t="str">
        <f aca="false">IF(D1781="","",IFERROR(INDEX(Materiali!$C:$C,MATCH(D1781,Materiali!$A:$A,0)),0))</f>
        <v/>
      </c>
      <c r="I1781" s="9" t="str">
        <f aca="false">IF(OR(G1781="",H1781=""),"",IF(F1781="Uscita",-1,1)*G1781*H1781)</f>
        <v/>
      </c>
      <c r="J1781" s="13"/>
      <c r="K1781" s="13"/>
    </row>
    <row r="1782" customFormat="false" ht="15" hidden="false" customHeight="false" outlineLevel="0" collapsed="false">
      <c r="A1782" s="12"/>
      <c r="B1782" s="13"/>
      <c r="C1782" s="13"/>
      <c r="D1782" s="13"/>
      <c r="E1782" s="7" t="str">
        <f aca="false">IF(D1782="","",IFERROR(INDEX(Materiali!$B:$B,MATCH(D1782,Materiali!$A:$A,0)),"codice?"))</f>
        <v/>
      </c>
      <c r="F1782" s="13"/>
      <c r="G1782" s="13"/>
      <c r="H1782" s="9" t="str">
        <f aca="false">IF(D1782="","",IFERROR(INDEX(Materiali!$C:$C,MATCH(D1782,Materiali!$A:$A,0)),0))</f>
        <v/>
      </c>
      <c r="I1782" s="9" t="str">
        <f aca="false">IF(OR(G1782="",H1782=""),"",IF(F1782="Uscita",-1,1)*G1782*H1782)</f>
        <v/>
      </c>
      <c r="J1782" s="13"/>
      <c r="K1782" s="13"/>
    </row>
    <row r="1783" customFormat="false" ht="15" hidden="false" customHeight="false" outlineLevel="0" collapsed="false">
      <c r="A1783" s="12"/>
      <c r="B1783" s="13"/>
      <c r="C1783" s="13"/>
      <c r="D1783" s="13"/>
      <c r="E1783" s="7" t="str">
        <f aca="false">IF(D1783="","",IFERROR(INDEX(Materiali!$B:$B,MATCH(D1783,Materiali!$A:$A,0)),"codice?"))</f>
        <v/>
      </c>
      <c r="F1783" s="13"/>
      <c r="G1783" s="13"/>
      <c r="H1783" s="9" t="str">
        <f aca="false">IF(D1783="","",IFERROR(INDEX(Materiali!$C:$C,MATCH(D1783,Materiali!$A:$A,0)),0))</f>
        <v/>
      </c>
      <c r="I1783" s="9" t="str">
        <f aca="false">IF(OR(G1783="",H1783=""),"",IF(F1783="Uscita",-1,1)*G1783*H1783)</f>
        <v/>
      </c>
      <c r="J1783" s="13"/>
      <c r="K1783" s="13"/>
    </row>
    <row r="1784" customFormat="false" ht="15" hidden="false" customHeight="false" outlineLevel="0" collapsed="false">
      <c r="A1784" s="12"/>
      <c r="B1784" s="13"/>
      <c r="C1784" s="13"/>
      <c r="D1784" s="13"/>
      <c r="E1784" s="7" t="str">
        <f aca="false">IF(D1784="","",IFERROR(INDEX(Materiali!$B:$B,MATCH(D1784,Materiali!$A:$A,0)),"codice?"))</f>
        <v/>
      </c>
      <c r="F1784" s="13"/>
      <c r="G1784" s="13"/>
      <c r="H1784" s="9" t="str">
        <f aca="false">IF(D1784="","",IFERROR(INDEX(Materiali!$C:$C,MATCH(D1784,Materiali!$A:$A,0)),0))</f>
        <v/>
      </c>
      <c r="I1784" s="9" t="str">
        <f aca="false">IF(OR(G1784="",H1784=""),"",IF(F1784="Uscita",-1,1)*G1784*H1784)</f>
        <v/>
      </c>
      <c r="J1784" s="13"/>
      <c r="K1784" s="13"/>
    </row>
    <row r="1785" customFormat="false" ht="15" hidden="false" customHeight="false" outlineLevel="0" collapsed="false">
      <c r="A1785" s="12"/>
      <c r="B1785" s="13"/>
      <c r="C1785" s="13"/>
      <c r="D1785" s="13"/>
      <c r="E1785" s="7" t="str">
        <f aca="false">IF(D1785="","",IFERROR(INDEX(Materiali!$B:$B,MATCH(D1785,Materiali!$A:$A,0)),"codice?"))</f>
        <v/>
      </c>
      <c r="F1785" s="13"/>
      <c r="G1785" s="13"/>
      <c r="H1785" s="9" t="str">
        <f aca="false">IF(D1785="","",IFERROR(INDEX(Materiali!$C:$C,MATCH(D1785,Materiali!$A:$A,0)),0))</f>
        <v/>
      </c>
      <c r="I1785" s="9" t="str">
        <f aca="false">IF(OR(G1785="",H1785=""),"",IF(F1785="Uscita",-1,1)*G1785*H1785)</f>
        <v/>
      </c>
      <c r="J1785" s="13"/>
      <c r="K1785" s="13"/>
    </row>
    <row r="1786" customFormat="false" ht="15" hidden="false" customHeight="false" outlineLevel="0" collapsed="false">
      <c r="A1786" s="12"/>
      <c r="B1786" s="13"/>
      <c r="C1786" s="13"/>
      <c r="D1786" s="13"/>
      <c r="E1786" s="7" t="str">
        <f aca="false">IF(D1786="","",IFERROR(INDEX(Materiali!$B:$B,MATCH(D1786,Materiali!$A:$A,0)),"codice?"))</f>
        <v/>
      </c>
      <c r="F1786" s="13"/>
      <c r="G1786" s="13"/>
      <c r="H1786" s="9" t="str">
        <f aca="false">IF(D1786="","",IFERROR(INDEX(Materiali!$C:$C,MATCH(D1786,Materiali!$A:$A,0)),0))</f>
        <v/>
      </c>
      <c r="I1786" s="9" t="str">
        <f aca="false">IF(OR(G1786="",H1786=""),"",IF(F1786="Uscita",-1,1)*G1786*H1786)</f>
        <v/>
      </c>
      <c r="J1786" s="13"/>
      <c r="K1786" s="13"/>
    </row>
    <row r="1787" customFormat="false" ht="15" hidden="false" customHeight="false" outlineLevel="0" collapsed="false">
      <c r="A1787" s="12"/>
      <c r="B1787" s="13"/>
      <c r="C1787" s="13"/>
      <c r="D1787" s="13"/>
      <c r="E1787" s="7" t="str">
        <f aca="false">IF(D1787="","",IFERROR(INDEX(Materiali!$B:$B,MATCH(D1787,Materiali!$A:$A,0)),"codice?"))</f>
        <v/>
      </c>
      <c r="F1787" s="13"/>
      <c r="G1787" s="13"/>
      <c r="H1787" s="9" t="str">
        <f aca="false">IF(D1787="","",IFERROR(INDEX(Materiali!$C:$C,MATCH(D1787,Materiali!$A:$A,0)),0))</f>
        <v/>
      </c>
      <c r="I1787" s="9" t="str">
        <f aca="false">IF(OR(G1787="",H1787=""),"",IF(F1787="Uscita",-1,1)*G1787*H1787)</f>
        <v/>
      </c>
      <c r="J1787" s="13"/>
      <c r="K1787" s="13"/>
    </row>
    <row r="1788" customFormat="false" ht="15" hidden="false" customHeight="false" outlineLevel="0" collapsed="false">
      <c r="A1788" s="12"/>
      <c r="B1788" s="13"/>
      <c r="C1788" s="13"/>
      <c r="D1788" s="13"/>
      <c r="E1788" s="7" t="str">
        <f aca="false">IF(D1788="","",IFERROR(INDEX(Materiali!$B:$B,MATCH(D1788,Materiali!$A:$A,0)),"codice?"))</f>
        <v/>
      </c>
      <c r="F1788" s="13"/>
      <c r="G1788" s="13"/>
      <c r="H1788" s="9" t="str">
        <f aca="false">IF(D1788="","",IFERROR(INDEX(Materiali!$C:$C,MATCH(D1788,Materiali!$A:$A,0)),0))</f>
        <v/>
      </c>
      <c r="I1788" s="9" t="str">
        <f aca="false">IF(OR(G1788="",H1788=""),"",IF(F1788="Uscita",-1,1)*G1788*H1788)</f>
        <v/>
      </c>
      <c r="J1788" s="13"/>
      <c r="K1788" s="13"/>
    </row>
    <row r="1789" customFormat="false" ht="15" hidden="false" customHeight="false" outlineLevel="0" collapsed="false">
      <c r="A1789" s="12"/>
      <c r="B1789" s="13"/>
      <c r="C1789" s="13"/>
      <c r="D1789" s="13"/>
      <c r="E1789" s="7" t="str">
        <f aca="false">IF(D1789="","",IFERROR(INDEX(Materiali!$B:$B,MATCH(D1789,Materiali!$A:$A,0)),"codice?"))</f>
        <v/>
      </c>
      <c r="F1789" s="13"/>
      <c r="G1789" s="13"/>
      <c r="H1789" s="9" t="str">
        <f aca="false">IF(D1789="","",IFERROR(INDEX(Materiali!$C:$C,MATCH(D1789,Materiali!$A:$A,0)),0))</f>
        <v/>
      </c>
      <c r="I1789" s="9" t="str">
        <f aca="false">IF(OR(G1789="",H1789=""),"",IF(F1789="Uscita",-1,1)*G1789*H1789)</f>
        <v/>
      </c>
      <c r="J1789" s="13"/>
      <c r="K1789" s="13"/>
    </row>
    <row r="1790" customFormat="false" ht="15" hidden="false" customHeight="false" outlineLevel="0" collapsed="false">
      <c r="A1790" s="12"/>
      <c r="B1790" s="13"/>
      <c r="C1790" s="13"/>
      <c r="D1790" s="13"/>
      <c r="E1790" s="7" t="str">
        <f aca="false">IF(D1790="","",IFERROR(INDEX(Materiali!$B:$B,MATCH(D1790,Materiali!$A:$A,0)),"codice?"))</f>
        <v/>
      </c>
      <c r="F1790" s="13"/>
      <c r="G1790" s="13"/>
      <c r="H1790" s="9" t="str">
        <f aca="false">IF(D1790="","",IFERROR(INDEX(Materiali!$C:$C,MATCH(D1790,Materiali!$A:$A,0)),0))</f>
        <v/>
      </c>
      <c r="I1790" s="9" t="str">
        <f aca="false">IF(OR(G1790="",H1790=""),"",IF(F1790="Uscita",-1,1)*G1790*H1790)</f>
        <v/>
      </c>
      <c r="J1790" s="13"/>
      <c r="K1790" s="13"/>
    </row>
    <row r="1791" customFormat="false" ht="15" hidden="false" customHeight="false" outlineLevel="0" collapsed="false">
      <c r="A1791" s="12"/>
      <c r="B1791" s="13"/>
      <c r="C1791" s="13"/>
      <c r="D1791" s="13"/>
      <c r="E1791" s="7" t="str">
        <f aca="false">IF(D1791="","",IFERROR(INDEX(Materiali!$B:$B,MATCH(D1791,Materiali!$A:$A,0)),"codice?"))</f>
        <v/>
      </c>
      <c r="F1791" s="13"/>
      <c r="G1791" s="13"/>
      <c r="H1791" s="9" t="str">
        <f aca="false">IF(D1791="","",IFERROR(INDEX(Materiali!$C:$C,MATCH(D1791,Materiali!$A:$A,0)),0))</f>
        <v/>
      </c>
      <c r="I1791" s="9" t="str">
        <f aca="false">IF(OR(G1791="",H1791=""),"",IF(F1791="Uscita",-1,1)*G1791*H1791)</f>
        <v/>
      </c>
      <c r="J1791" s="13"/>
      <c r="K1791" s="13"/>
    </row>
    <row r="1792" customFormat="false" ht="15" hidden="false" customHeight="false" outlineLevel="0" collapsed="false">
      <c r="A1792" s="12"/>
      <c r="B1792" s="13"/>
      <c r="C1792" s="13"/>
      <c r="D1792" s="13"/>
      <c r="E1792" s="7" t="str">
        <f aca="false">IF(D1792="","",IFERROR(INDEX(Materiali!$B:$B,MATCH(D1792,Materiali!$A:$A,0)),"codice?"))</f>
        <v/>
      </c>
      <c r="F1792" s="13"/>
      <c r="G1792" s="13"/>
      <c r="H1792" s="9" t="str">
        <f aca="false">IF(D1792="","",IFERROR(INDEX(Materiali!$C:$C,MATCH(D1792,Materiali!$A:$A,0)),0))</f>
        <v/>
      </c>
      <c r="I1792" s="9" t="str">
        <f aca="false">IF(OR(G1792="",H1792=""),"",IF(F1792="Uscita",-1,1)*G1792*H1792)</f>
        <v/>
      </c>
      <c r="J1792" s="13"/>
      <c r="K1792" s="13"/>
    </row>
    <row r="1793" customFormat="false" ht="15" hidden="false" customHeight="false" outlineLevel="0" collapsed="false">
      <c r="A1793" s="12"/>
      <c r="B1793" s="13"/>
      <c r="C1793" s="13"/>
      <c r="D1793" s="13"/>
      <c r="E1793" s="7" t="str">
        <f aca="false">IF(D1793="","",IFERROR(INDEX(Materiali!$B:$B,MATCH(D1793,Materiali!$A:$A,0)),"codice?"))</f>
        <v/>
      </c>
      <c r="F1793" s="13"/>
      <c r="G1793" s="13"/>
      <c r="H1793" s="9" t="str">
        <f aca="false">IF(D1793="","",IFERROR(INDEX(Materiali!$C:$C,MATCH(D1793,Materiali!$A:$A,0)),0))</f>
        <v/>
      </c>
      <c r="I1793" s="9" t="str">
        <f aca="false">IF(OR(G1793="",H1793=""),"",IF(F1793="Uscita",-1,1)*G1793*H1793)</f>
        <v/>
      </c>
      <c r="J1793" s="13"/>
      <c r="K1793" s="13"/>
    </row>
    <row r="1794" customFormat="false" ht="15" hidden="false" customHeight="false" outlineLevel="0" collapsed="false">
      <c r="A1794" s="12"/>
      <c r="B1794" s="13"/>
      <c r="C1794" s="13"/>
      <c r="D1794" s="13"/>
      <c r="E1794" s="7" t="str">
        <f aca="false">IF(D1794="","",IFERROR(INDEX(Materiali!$B:$B,MATCH(D1794,Materiali!$A:$A,0)),"codice?"))</f>
        <v/>
      </c>
      <c r="F1794" s="13"/>
      <c r="G1794" s="13"/>
      <c r="H1794" s="9" t="str">
        <f aca="false">IF(D1794="","",IFERROR(INDEX(Materiali!$C:$C,MATCH(D1794,Materiali!$A:$A,0)),0))</f>
        <v/>
      </c>
      <c r="I1794" s="9" t="str">
        <f aca="false">IF(OR(G1794="",H1794=""),"",IF(F1794="Uscita",-1,1)*G1794*H1794)</f>
        <v/>
      </c>
      <c r="J1794" s="13"/>
      <c r="K1794" s="13"/>
    </row>
    <row r="1795" customFormat="false" ht="15" hidden="false" customHeight="false" outlineLevel="0" collapsed="false">
      <c r="A1795" s="12"/>
      <c r="B1795" s="13"/>
      <c r="C1795" s="13"/>
      <c r="D1795" s="13"/>
      <c r="E1795" s="7" t="str">
        <f aca="false">IF(D1795="","",IFERROR(INDEX(Materiali!$B:$B,MATCH(D1795,Materiali!$A:$A,0)),"codice?"))</f>
        <v/>
      </c>
      <c r="F1795" s="13"/>
      <c r="G1795" s="13"/>
      <c r="H1795" s="9" t="str">
        <f aca="false">IF(D1795="","",IFERROR(INDEX(Materiali!$C:$C,MATCH(D1795,Materiali!$A:$A,0)),0))</f>
        <v/>
      </c>
      <c r="I1795" s="9" t="str">
        <f aca="false">IF(OR(G1795="",H1795=""),"",IF(F1795="Uscita",-1,1)*G1795*H1795)</f>
        <v/>
      </c>
      <c r="J1795" s="13"/>
      <c r="K1795" s="13"/>
    </row>
    <row r="1796" customFormat="false" ht="15" hidden="false" customHeight="false" outlineLevel="0" collapsed="false">
      <c r="A1796" s="12"/>
      <c r="B1796" s="13"/>
      <c r="C1796" s="13"/>
      <c r="D1796" s="13"/>
      <c r="E1796" s="7" t="str">
        <f aca="false">IF(D1796="","",IFERROR(INDEX(Materiali!$B:$B,MATCH(D1796,Materiali!$A:$A,0)),"codice?"))</f>
        <v/>
      </c>
      <c r="F1796" s="13"/>
      <c r="G1796" s="13"/>
      <c r="H1796" s="9" t="str">
        <f aca="false">IF(D1796="","",IFERROR(INDEX(Materiali!$C:$C,MATCH(D1796,Materiali!$A:$A,0)),0))</f>
        <v/>
      </c>
      <c r="I1796" s="9" t="str">
        <f aca="false">IF(OR(G1796="",H1796=""),"",IF(F1796="Uscita",-1,1)*G1796*H1796)</f>
        <v/>
      </c>
      <c r="J1796" s="13"/>
      <c r="K1796" s="13"/>
    </row>
    <row r="1797" customFormat="false" ht="15" hidden="false" customHeight="false" outlineLevel="0" collapsed="false">
      <c r="A1797" s="12"/>
      <c r="B1797" s="13"/>
      <c r="C1797" s="13"/>
      <c r="D1797" s="13"/>
      <c r="E1797" s="7" t="str">
        <f aca="false">IF(D1797="","",IFERROR(INDEX(Materiali!$B:$B,MATCH(D1797,Materiali!$A:$A,0)),"codice?"))</f>
        <v/>
      </c>
      <c r="F1797" s="13"/>
      <c r="G1797" s="13"/>
      <c r="H1797" s="9" t="str">
        <f aca="false">IF(D1797="","",IFERROR(INDEX(Materiali!$C:$C,MATCH(D1797,Materiali!$A:$A,0)),0))</f>
        <v/>
      </c>
      <c r="I1797" s="9" t="str">
        <f aca="false">IF(OR(G1797="",H1797=""),"",IF(F1797="Uscita",-1,1)*G1797*H1797)</f>
        <v/>
      </c>
      <c r="J1797" s="13"/>
      <c r="K1797" s="13"/>
    </row>
    <row r="1798" customFormat="false" ht="15" hidden="false" customHeight="false" outlineLevel="0" collapsed="false">
      <c r="A1798" s="12"/>
      <c r="B1798" s="13"/>
      <c r="C1798" s="13"/>
      <c r="D1798" s="13"/>
      <c r="E1798" s="7" t="str">
        <f aca="false">IF(D1798="","",IFERROR(INDEX(Materiali!$B:$B,MATCH(D1798,Materiali!$A:$A,0)),"codice?"))</f>
        <v/>
      </c>
      <c r="F1798" s="13"/>
      <c r="G1798" s="13"/>
      <c r="H1798" s="9" t="str">
        <f aca="false">IF(D1798="","",IFERROR(INDEX(Materiali!$C:$C,MATCH(D1798,Materiali!$A:$A,0)),0))</f>
        <v/>
      </c>
      <c r="I1798" s="9" t="str">
        <f aca="false">IF(OR(G1798="",H1798=""),"",IF(F1798="Uscita",-1,1)*G1798*H1798)</f>
        <v/>
      </c>
      <c r="J1798" s="13"/>
      <c r="K1798" s="13"/>
    </row>
    <row r="1799" customFormat="false" ht="15" hidden="false" customHeight="false" outlineLevel="0" collapsed="false">
      <c r="A1799" s="12"/>
      <c r="B1799" s="13"/>
      <c r="C1799" s="13"/>
      <c r="D1799" s="13"/>
      <c r="E1799" s="7" t="str">
        <f aca="false">IF(D1799="","",IFERROR(INDEX(Materiali!$B:$B,MATCH(D1799,Materiali!$A:$A,0)),"codice?"))</f>
        <v/>
      </c>
      <c r="F1799" s="13"/>
      <c r="G1799" s="13"/>
      <c r="H1799" s="9" t="str">
        <f aca="false">IF(D1799="","",IFERROR(INDEX(Materiali!$C:$C,MATCH(D1799,Materiali!$A:$A,0)),0))</f>
        <v/>
      </c>
      <c r="I1799" s="9" t="str">
        <f aca="false">IF(OR(G1799="",H1799=""),"",IF(F1799="Uscita",-1,1)*G1799*H1799)</f>
        <v/>
      </c>
      <c r="J1799" s="13"/>
      <c r="K1799" s="13"/>
    </row>
    <row r="1800" customFormat="false" ht="15" hidden="false" customHeight="false" outlineLevel="0" collapsed="false">
      <c r="A1800" s="12"/>
      <c r="B1800" s="13"/>
      <c r="C1800" s="13"/>
      <c r="D1800" s="13"/>
      <c r="E1800" s="7" t="str">
        <f aca="false">IF(D1800="","",IFERROR(INDEX(Materiali!$B:$B,MATCH(D1800,Materiali!$A:$A,0)),"codice?"))</f>
        <v/>
      </c>
      <c r="F1800" s="13"/>
      <c r="G1800" s="13"/>
      <c r="H1800" s="9" t="str">
        <f aca="false">IF(D1800="","",IFERROR(INDEX(Materiali!$C:$C,MATCH(D1800,Materiali!$A:$A,0)),0))</f>
        <v/>
      </c>
      <c r="I1800" s="9" t="str">
        <f aca="false">IF(OR(G1800="",H1800=""),"",IF(F1800="Uscita",-1,1)*G1800*H1800)</f>
        <v/>
      </c>
      <c r="J1800" s="13"/>
      <c r="K1800" s="13"/>
    </row>
    <row r="1801" customFormat="false" ht="15" hidden="false" customHeight="false" outlineLevel="0" collapsed="false">
      <c r="A1801" s="12"/>
      <c r="B1801" s="13"/>
      <c r="C1801" s="13"/>
      <c r="D1801" s="13"/>
      <c r="E1801" s="7" t="str">
        <f aca="false">IF(D1801="","",IFERROR(INDEX(Materiali!$B:$B,MATCH(D1801,Materiali!$A:$A,0)),"codice?"))</f>
        <v/>
      </c>
      <c r="F1801" s="13"/>
      <c r="G1801" s="13"/>
      <c r="H1801" s="9" t="str">
        <f aca="false">IF(D1801="","",IFERROR(INDEX(Materiali!$C:$C,MATCH(D1801,Materiali!$A:$A,0)),0))</f>
        <v/>
      </c>
      <c r="I1801" s="9" t="str">
        <f aca="false">IF(OR(G1801="",H1801=""),"",IF(F1801="Uscita",-1,1)*G1801*H1801)</f>
        <v/>
      </c>
      <c r="J1801" s="13"/>
      <c r="K1801" s="13"/>
    </row>
    <row r="1802" customFormat="false" ht="15" hidden="false" customHeight="false" outlineLevel="0" collapsed="false">
      <c r="A1802" s="12"/>
      <c r="B1802" s="13"/>
      <c r="C1802" s="13"/>
      <c r="D1802" s="13"/>
      <c r="E1802" s="7" t="str">
        <f aca="false">IF(D1802="","",IFERROR(INDEX(Materiali!$B:$B,MATCH(D1802,Materiali!$A:$A,0)),"codice?"))</f>
        <v/>
      </c>
      <c r="F1802" s="13"/>
      <c r="G1802" s="13"/>
      <c r="H1802" s="9" t="str">
        <f aca="false">IF(D1802="","",IFERROR(INDEX(Materiali!$C:$C,MATCH(D1802,Materiali!$A:$A,0)),0))</f>
        <v/>
      </c>
      <c r="I1802" s="9" t="str">
        <f aca="false">IF(OR(G1802="",H1802=""),"",IF(F1802="Uscita",-1,1)*G1802*H1802)</f>
        <v/>
      </c>
      <c r="J1802" s="13"/>
      <c r="K1802" s="13"/>
    </row>
    <row r="1803" customFormat="false" ht="15" hidden="false" customHeight="false" outlineLevel="0" collapsed="false">
      <c r="A1803" s="12"/>
      <c r="B1803" s="13"/>
      <c r="C1803" s="13"/>
      <c r="D1803" s="13"/>
      <c r="E1803" s="7" t="str">
        <f aca="false">IF(D1803="","",IFERROR(INDEX(Materiali!$B:$B,MATCH(D1803,Materiali!$A:$A,0)),"codice?"))</f>
        <v/>
      </c>
      <c r="F1803" s="13"/>
      <c r="G1803" s="13"/>
      <c r="H1803" s="9" t="str">
        <f aca="false">IF(D1803="","",IFERROR(INDEX(Materiali!$C:$C,MATCH(D1803,Materiali!$A:$A,0)),0))</f>
        <v/>
      </c>
      <c r="I1803" s="9" t="str">
        <f aca="false">IF(OR(G1803="",H1803=""),"",IF(F1803="Uscita",-1,1)*G1803*H1803)</f>
        <v/>
      </c>
      <c r="J1803" s="13"/>
      <c r="K1803" s="13"/>
    </row>
    <row r="1804" customFormat="false" ht="15" hidden="false" customHeight="false" outlineLevel="0" collapsed="false">
      <c r="A1804" s="12"/>
      <c r="B1804" s="13"/>
      <c r="C1804" s="13"/>
      <c r="D1804" s="13"/>
      <c r="E1804" s="7" t="str">
        <f aca="false">IF(D1804="","",IFERROR(INDEX(Materiali!$B:$B,MATCH(D1804,Materiali!$A:$A,0)),"codice?"))</f>
        <v/>
      </c>
      <c r="F1804" s="13"/>
      <c r="G1804" s="13"/>
      <c r="H1804" s="9" t="str">
        <f aca="false">IF(D1804="","",IFERROR(INDEX(Materiali!$C:$C,MATCH(D1804,Materiali!$A:$A,0)),0))</f>
        <v/>
      </c>
      <c r="I1804" s="9" t="str">
        <f aca="false">IF(OR(G1804="",H1804=""),"",IF(F1804="Uscita",-1,1)*G1804*H1804)</f>
        <v/>
      </c>
      <c r="J1804" s="13"/>
      <c r="K1804" s="13"/>
    </row>
    <row r="1805" customFormat="false" ht="15" hidden="false" customHeight="false" outlineLevel="0" collapsed="false">
      <c r="A1805" s="12"/>
      <c r="B1805" s="13"/>
      <c r="C1805" s="13"/>
      <c r="D1805" s="13"/>
      <c r="E1805" s="7" t="str">
        <f aca="false">IF(D1805="","",IFERROR(INDEX(Materiali!$B:$B,MATCH(D1805,Materiali!$A:$A,0)),"codice?"))</f>
        <v/>
      </c>
      <c r="F1805" s="13"/>
      <c r="G1805" s="13"/>
      <c r="H1805" s="9" t="str">
        <f aca="false">IF(D1805="","",IFERROR(INDEX(Materiali!$C:$C,MATCH(D1805,Materiali!$A:$A,0)),0))</f>
        <v/>
      </c>
      <c r="I1805" s="9" t="str">
        <f aca="false">IF(OR(G1805="",H1805=""),"",IF(F1805="Uscita",-1,1)*G1805*H1805)</f>
        <v/>
      </c>
      <c r="J1805" s="13"/>
      <c r="K1805" s="13"/>
    </row>
    <row r="1806" customFormat="false" ht="15" hidden="false" customHeight="false" outlineLevel="0" collapsed="false">
      <c r="A1806" s="12"/>
      <c r="B1806" s="13"/>
      <c r="C1806" s="13"/>
      <c r="D1806" s="13"/>
      <c r="E1806" s="7" t="str">
        <f aca="false">IF(D1806="","",IFERROR(INDEX(Materiali!$B:$B,MATCH(D1806,Materiali!$A:$A,0)),"codice?"))</f>
        <v/>
      </c>
      <c r="F1806" s="13"/>
      <c r="G1806" s="13"/>
      <c r="H1806" s="9" t="str">
        <f aca="false">IF(D1806="","",IFERROR(INDEX(Materiali!$C:$C,MATCH(D1806,Materiali!$A:$A,0)),0))</f>
        <v/>
      </c>
      <c r="I1806" s="9" t="str">
        <f aca="false">IF(OR(G1806="",H1806=""),"",IF(F1806="Uscita",-1,1)*G1806*H1806)</f>
        <v/>
      </c>
      <c r="J1806" s="13"/>
      <c r="K1806" s="13"/>
    </row>
    <row r="1807" customFormat="false" ht="15" hidden="false" customHeight="false" outlineLevel="0" collapsed="false">
      <c r="A1807" s="12"/>
      <c r="B1807" s="13"/>
      <c r="C1807" s="13"/>
      <c r="D1807" s="13"/>
      <c r="E1807" s="7" t="str">
        <f aca="false">IF(D1807="","",IFERROR(INDEX(Materiali!$B:$B,MATCH(D1807,Materiali!$A:$A,0)),"codice?"))</f>
        <v/>
      </c>
      <c r="F1807" s="13"/>
      <c r="G1807" s="13"/>
      <c r="H1807" s="9" t="str">
        <f aca="false">IF(D1807="","",IFERROR(INDEX(Materiali!$C:$C,MATCH(D1807,Materiali!$A:$A,0)),0))</f>
        <v/>
      </c>
      <c r="I1807" s="9" t="str">
        <f aca="false">IF(OR(G1807="",H1807=""),"",IF(F1807="Uscita",-1,1)*G1807*H1807)</f>
        <v/>
      </c>
      <c r="J1807" s="13"/>
      <c r="K1807" s="13"/>
    </row>
    <row r="1808" customFormat="false" ht="15" hidden="false" customHeight="false" outlineLevel="0" collapsed="false">
      <c r="A1808" s="12"/>
      <c r="B1808" s="13"/>
      <c r="C1808" s="13"/>
      <c r="D1808" s="13"/>
      <c r="E1808" s="7" t="str">
        <f aca="false">IF(D1808="","",IFERROR(INDEX(Materiali!$B:$B,MATCH(D1808,Materiali!$A:$A,0)),"codice?"))</f>
        <v/>
      </c>
      <c r="F1808" s="13"/>
      <c r="G1808" s="13"/>
      <c r="H1808" s="9" t="str">
        <f aca="false">IF(D1808="","",IFERROR(INDEX(Materiali!$C:$C,MATCH(D1808,Materiali!$A:$A,0)),0))</f>
        <v/>
      </c>
      <c r="I1808" s="9" t="str">
        <f aca="false">IF(OR(G1808="",H1808=""),"",IF(F1808="Uscita",-1,1)*G1808*H1808)</f>
        <v/>
      </c>
      <c r="J1808" s="13"/>
      <c r="K1808" s="13"/>
    </row>
    <row r="1809" customFormat="false" ht="15" hidden="false" customHeight="false" outlineLevel="0" collapsed="false">
      <c r="A1809" s="12"/>
      <c r="B1809" s="13"/>
      <c r="C1809" s="13"/>
      <c r="D1809" s="13"/>
      <c r="E1809" s="7" t="str">
        <f aca="false">IF(D1809="","",IFERROR(INDEX(Materiali!$B:$B,MATCH(D1809,Materiali!$A:$A,0)),"codice?"))</f>
        <v/>
      </c>
      <c r="F1809" s="13"/>
      <c r="G1809" s="13"/>
      <c r="H1809" s="9" t="str">
        <f aca="false">IF(D1809="","",IFERROR(INDEX(Materiali!$C:$C,MATCH(D1809,Materiali!$A:$A,0)),0))</f>
        <v/>
      </c>
      <c r="I1809" s="9" t="str">
        <f aca="false">IF(OR(G1809="",H1809=""),"",IF(F1809="Uscita",-1,1)*G1809*H1809)</f>
        <v/>
      </c>
      <c r="J1809" s="13"/>
      <c r="K1809" s="13"/>
    </row>
    <row r="1810" customFormat="false" ht="15" hidden="false" customHeight="false" outlineLevel="0" collapsed="false">
      <c r="A1810" s="12"/>
      <c r="B1810" s="13"/>
      <c r="C1810" s="13"/>
      <c r="D1810" s="13"/>
      <c r="E1810" s="7" t="str">
        <f aca="false">IF(D1810="","",IFERROR(INDEX(Materiali!$B:$B,MATCH(D1810,Materiali!$A:$A,0)),"codice?"))</f>
        <v/>
      </c>
      <c r="F1810" s="13"/>
      <c r="G1810" s="13"/>
      <c r="H1810" s="9" t="str">
        <f aca="false">IF(D1810="","",IFERROR(INDEX(Materiali!$C:$C,MATCH(D1810,Materiali!$A:$A,0)),0))</f>
        <v/>
      </c>
      <c r="I1810" s="9" t="str">
        <f aca="false">IF(OR(G1810="",H1810=""),"",IF(F1810="Uscita",-1,1)*G1810*H1810)</f>
        <v/>
      </c>
      <c r="J1810" s="13"/>
      <c r="K1810" s="13"/>
    </row>
    <row r="1811" customFormat="false" ht="15" hidden="false" customHeight="false" outlineLevel="0" collapsed="false">
      <c r="A1811" s="12"/>
      <c r="B1811" s="13"/>
      <c r="C1811" s="13"/>
      <c r="D1811" s="13"/>
      <c r="E1811" s="7" t="str">
        <f aca="false">IF(D1811="","",IFERROR(INDEX(Materiali!$B:$B,MATCH(D1811,Materiali!$A:$A,0)),"codice?"))</f>
        <v/>
      </c>
      <c r="F1811" s="13"/>
      <c r="G1811" s="13"/>
      <c r="H1811" s="9" t="str">
        <f aca="false">IF(D1811="","",IFERROR(INDEX(Materiali!$C:$C,MATCH(D1811,Materiali!$A:$A,0)),0))</f>
        <v/>
      </c>
      <c r="I1811" s="9" t="str">
        <f aca="false">IF(OR(G1811="",H1811=""),"",IF(F1811="Uscita",-1,1)*G1811*H1811)</f>
        <v/>
      </c>
      <c r="J1811" s="13"/>
      <c r="K1811" s="13"/>
    </row>
    <row r="1812" customFormat="false" ht="15" hidden="false" customHeight="false" outlineLevel="0" collapsed="false">
      <c r="A1812" s="12"/>
      <c r="B1812" s="13"/>
      <c r="C1812" s="13"/>
      <c r="D1812" s="13"/>
      <c r="E1812" s="7" t="str">
        <f aca="false">IF(D1812="","",IFERROR(INDEX(Materiali!$B:$B,MATCH(D1812,Materiali!$A:$A,0)),"codice?"))</f>
        <v/>
      </c>
      <c r="F1812" s="13"/>
      <c r="G1812" s="13"/>
      <c r="H1812" s="9" t="str">
        <f aca="false">IF(D1812="","",IFERROR(INDEX(Materiali!$C:$C,MATCH(D1812,Materiali!$A:$A,0)),0))</f>
        <v/>
      </c>
      <c r="I1812" s="9" t="str">
        <f aca="false">IF(OR(G1812="",H1812=""),"",IF(F1812="Uscita",-1,1)*G1812*H1812)</f>
        <v/>
      </c>
      <c r="J1812" s="13"/>
      <c r="K1812" s="13"/>
    </row>
    <row r="1813" customFormat="false" ht="15" hidden="false" customHeight="false" outlineLevel="0" collapsed="false">
      <c r="A1813" s="12"/>
      <c r="B1813" s="13"/>
      <c r="C1813" s="13"/>
      <c r="D1813" s="13"/>
      <c r="E1813" s="7" t="str">
        <f aca="false">IF(D1813="","",IFERROR(INDEX(Materiali!$B:$B,MATCH(D1813,Materiali!$A:$A,0)),"codice?"))</f>
        <v/>
      </c>
      <c r="F1813" s="13"/>
      <c r="G1813" s="13"/>
      <c r="H1813" s="9" t="str">
        <f aca="false">IF(D1813="","",IFERROR(INDEX(Materiali!$C:$C,MATCH(D1813,Materiali!$A:$A,0)),0))</f>
        <v/>
      </c>
      <c r="I1813" s="9" t="str">
        <f aca="false">IF(OR(G1813="",H1813=""),"",IF(F1813="Uscita",-1,1)*G1813*H1813)</f>
        <v/>
      </c>
      <c r="J1813" s="13"/>
      <c r="K1813" s="13"/>
    </row>
    <row r="1814" customFormat="false" ht="15" hidden="false" customHeight="false" outlineLevel="0" collapsed="false">
      <c r="A1814" s="12"/>
      <c r="B1814" s="13"/>
      <c r="C1814" s="13"/>
      <c r="D1814" s="13"/>
      <c r="E1814" s="7" t="str">
        <f aca="false">IF(D1814="","",IFERROR(INDEX(Materiali!$B:$B,MATCH(D1814,Materiali!$A:$A,0)),"codice?"))</f>
        <v/>
      </c>
      <c r="F1814" s="13"/>
      <c r="G1814" s="13"/>
      <c r="H1814" s="9" t="str">
        <f aca="false">IF(D1814="","",IFERROR(INDEX(Materiali!$C:$C,MATCH(D1814,Materiali!$A:$A,0)),0))</f>
        <v/>
      </c>
      <c r="I1814" s="9" t="str">
        <f aca="false">IF(OR(G1814="",H1814=""),"",IF(F1814="Uscita",-1,1)*G1814*H1814)</f>
        <v/>
      </c>
      <c r="J1814" s="13"/>
      <c r="K1814" s="13"/>
    </row>
    <row r="1815" customFormat="false" ht="15" hidden="false" customHeight="false" outlineLevel="0" collapsed="false">
      <c r="A1815" s="12"/>
      <c r="B1815" s="13"/>
      <c r="C1815" s="13"/>
      <c r="D1815" s="13"/>
      <c r="E1815" s="7" t="str">
        <f aca="false">IF(D1815="","",IFERROR(INDEX(Materiali!$B:$B,MATCH(D1815,Materiali!$A:$A,0)),"codice?"))</f>
        <v/>
      </c>
      <c r="F1815" s="13"/>
      <c r="G1815" s="13"/>
      <c r="H1815" s="9" t="str">
        <f aca="false">IF(D1815="","",IFERROR(INDEX(Materiali!$C:$C,MATCH(D1815,Materiali!$A:$A,0)),0))</f>
        <v/>
      </c>
      <c r="I1815" s="9" t="str">
        <f aca="false">IF(OR(G1815="",H1815=""),"",IF(F1815="Uscita",-1,1)*G1815*H1815)</f>
        <v/>
      </c>
      <c r="J1815" s="13"/>
      <c r="K1815" s="13"/>
    </row>
    <row r="1816" customFormat="false" ht="15" hidden="false" customHeight="false" outlineLevel="0" collapsed="false">
      <c r="A1816" s="12"/>
      <c r="B1816" s="13"/>
      <c r="C1816" s="13"/>
      <c r="D1816" s="13"/>
      <c r="E1816" s="7" t="str">
        <f aca="false">IF(D1816="","",IFERROR(INDEX(Materiali!$B:$B,MATCH(D1816,Materiali!$A:$A,0)),"codice?"))</f>
        <v/>
      </c>
      <c r="F1816" s="13"/>
      <c r="G1816" s="13"/>
      <c r="H1816" s="9" t="str">
        <f aca="false">IF(D1816="","",IFERROR(INDEX(Materiali!$C:$C,MATCH(D1816,Materiali!$A:$A,0)),0))</f>
        <v/>
      </c>
      <c r="I1816" s="9" t="str">
        <f aca="false">IF(OR(G1816="",H1816=""),"",IF(F1816="Uscita",-1,1)*G1816*H1816)</f>
        <v/>
      </c>
      <c r="J1816" s="13"/>
      <c r="K1816" s="13"/>
    </row>
    <row r="1817" customFormat="false" ht="15" hidden="false" customHeight="false" outlineLevel="0" collapsed="false">
      <c r="A1817" s="12"/>
      <c r="B1817" s="13"/>
      <c r="C1817" s="13"/>
      <c r="D1817" s="13"/>
      <c r="E1817" s="7" t="str">
        <f aca="false">IF(D1817="","",IFERROR(INDEX(Materiali!$B:$B,MATCH(D1817,Materiali!$A:$A,0)),"codice?"))</f>
        <v/>
      </c>
      <c r="F1817" s="13"/>
      <c r="G1817" s="13"/>
      <c r="H1817" s="9" t="str">
        <f aca="false">IF(D1817="","",IFERROR(INDEX(Materiali!$C:$C,MATCH(D1817,Materiali!$A:$A,0)),0))</f>
        <v/>
      </c>
      <c r="I1817" s="9" t="str">
        <f aca="false">IF(OR(G1817="",H1817=""),"",IF(F1817="Uscita",-1,1)*G1817*H1817)</f>
        <v/>
      </c>
      <c r="J1817" s="13"/>
      <c r="K1817" s="13"/>
    </row>
    <row r="1818" customFormat="false" ht="15" hidden="false" customHeight="false" outlineLevel="0" collapsed="false">
      <c r="A1818" s="12"/>
      <c r="B1818" s="13"/>
      <c r="C1818" s="13"/>
      <c r="D1818" s="13"/>
      <c r="E1818" s="7" t="str">
        <f aca="false">IF(D1818="","",IFERROR(INDEX(Materiali!$B:$B,MATCH(D1818,Materiali!$A:$A,0)),"codice?"))</f>
        <v/>
      </c>
      <c r="F1818" s="13"/>
      <c r="G1818" s="13"/>
      <c r="H1818" s="9" t="str">
        <f aca="false">IF(D1818="","",IFERROR(INDEX(Materiali!$C:$C,MATCH(D1818,Materiali!$A:$A,0)),0))</f>
        <v/>
      </c>
      <c r="I1818" s="9" t="str">
        <f aca="false">IF(OR(G1818="",H1818=""),"",IF(F1818="Uscita",-1,1)*G1818*H1818)</f>
        <v/>
      </c>
      <c r="J1818" s="13"/>
      <c r="K1818" s="13"/>
    </row>
    <row r="1819" customFormat="false" ht="15" hidden="false" customHeight="false" outlineLevel="0" collapsed="false">
      <c r="A1819" s="12"/>
      <c r="B1819" s="13"/>
      <c r="C1819" s="13"/>
      <c r="D1819" s="13"/>
      <c r="E1819" s="7" t="str">
        <f aca="false">IF(D1819="","",IFERROR(INDEX(Materiali!$B:$B,MATCH(D1819,Materiali!$A:$A,0)),"codice?"))</f>
        <v/>
      </c>
      <c r="F1819" s="13"/>
      <c r="G1819" s="13"/>
      <c r="H1819" s="9" t="str">
        <f aca="false">IF(D1819="","",IFERROR(INDEX(Materiali!$C:$C,MATCH(D1819,Materiali!$A:$A,0)),0))</f>
        <v/>
      </c>
      <c r="I1819" s="9" t="str">
        <f aca="false">IF(OR(G1819="",H1819=""),"",IF(F1819="Uscita",-1,1)*G1819*H1819)</f>
        <v/>
      </c>
      <c r="J1819" s="13"/>
      <c r="K1819" s="13"/>
    </row>
    <row r="1820" customFormat="false" ht="15" hidden="false" customHeight="false" outlineLevel="0" collapsed="false">
      <c r="A1820" s="12"/>
      <c r="B1820" s="13"/>
      <c r="C1820" s="13"/>
      <c r="D1820" s="13"/>
      <c r="E1820" s="7" t="str">
        <f aca="false">IF(D1820="","",IFERROR(INDEX(Materiali!$B:$B,MATCH(D1820,Materiali!$A:$A,0)),"codice?"))</f>
        <v/>
      </c>
      <c r="F1820" s="13"/>
      <c r="G1820" s="13"/>
      <c r="H1820" s="9" t="str">
        <f aca="false">IF(D1820="","",IFERROR(INDEX(Materiali!$C:$C,MATCH(D1820,Materiali!$A:$A,0)),0))</f>
        <v/>
      </c>
      <c r="I1820" s="9" t="str">
        <f aca="false">IF(OR(G1820="",H1820=""),"",IF(F1820="Uscita",-1,1)*G1820*H1820)</f>
        <v/>
      </c>
      <c r="J1820" s="13"/>
      <c r="K1820" s="13"/>
    </row>
    <row r="1821" customFormat="false" ht="15" hidden="false" customHeight="false" outlineLevel="0" collapsed="false">
      <c r="A1821" s="12"/>
      <c r="B1821" s="13"/>
      <c r="C1821" s="13"/>
      <c r="D1821" s="13"/>
      <c r="E1821" s="7" t="str">
        <f aca="false">IF(D1821="","",IFERROR(INDEX(Materiali!$B:$B,MATCH(D1821,Materiali!$A:$A,0)),"codice?"))</f>
        <v/>
      </c>
      <c r="F1821" s="13"/>
      <c r="G1821" s="13"/>
      <c r="H1821" s="9" t="str">
        <f aca="false">IF(D1821="","",IFERROR(INDEX(Materiali!$C:$C,MATCH(D1821,Materiali!$A:$A,0)),0))</f>
        <v/>
      </c>
      <c r="I1821" s="9" t="str">
        <f aca="false">IF(OR(G1821="",H1821=""),"",IF(F1821="Uscita",-1,1)*G1821*H1821)</f>
        <v/>
      </c>
      <c r="J1821" s="13"/>
      <c r="K1821" s="13"/>
    </row>
    <row r="1822" customFormat="false" ht="15" hidden="false" customHeight="false" outlineLevel="0" collapsed="false">
      <c r="A1822" s="12"/>
      <c r="B1822" s="13"/>
      <c r="C1822" s="13"/>
      <c r="D1822" s="13"/>
      <c r="E1822" s="7" t="str">
        <f aca="false">IF(D1822="","",IFERROR(INDEX(Materiali!$B:$B,MATCH(D1822,Materiali!$A:$A,0)),"codice?"))</f>
        <v/>
      </c>
      <c r="F1822" s="13"/>
      <c r="G1822" s="13"/>
      <c r="H1822" s="9" t="str">
        <f aca="false">IF(D1822="","",IFERROR(INDEX(Materiali!$C:$C,MATCH(D1822,Materiali!$A:$A,0)),0))</f>
        <v/>
      </c>
      <c r="I1822" s="9" t="str">
        <f aca="false">IF(OR(G1822="",H1822=""),"",IF(F1822="Uscita",-1,1)*G1822*H1822)</f>
        <v/>
      </c>
      <c r="J1822" s="13"/>
      <c r="K1822" s="13"/>
    </row>
    <row r="1823" customFormat="false" ht="15" hidden="false" customHeight="false" outlineLevel="0" collapsed="false">
      <c r="A1823" s="12"/>
      <c r="B1823" s="13"/>
      <c r="C1823" s="13"/>
      <c r="D1823" s="13"/>
      <c r="E1823" s="7" t="str">
        <f aca="false">IF(D1823="","",IFERROR(INDEX(Materiali!$B:$B,MATCH(D1823,Materiali!$A:$A,0)),"codice?"))</f>
        <v/>
      </c>
      <c r="F1823" s="13"/>
      <c r="G1823" s="13"/>
      <c r="H1823" s="9" t="str">
        <f aca="false">IF(D1823="","",IFERROR(INDEX(Materiali!$C:$C,MATCH(D1823,Materiali!$A:$A,0)),0))</f>
        <v/>
      </c>
      <c r="I1823" s="9" t="str">
        <f aca="false">IF(OR(G1823="",H1823=""),"",IF(F1823="Uscita",-1,1)*G1823*H1823)</f>
        <v/>
      </c>
      <c r="J1823" s="13"/>
      <c r="K1823" s="13"/>
    </row>
    <row r="1824" customFormat="false" ht="15" hidden="false" customHeight="false" outlineLevel="0" collapsed="false">
      <c r="A1824" s="12"/>
      <c r="B1824" s="13"/>
      <c r="C1824" s="13"/>
      <c r="D1824" s="13"/>
      <c r="E1824" s="7" t="str">
        <f aca="false">IF(D1824="","",IFERROR(INDEX(Materiali!$B:$B,MATCH(D1824,Materiali!$A:$A,0)),"codice?"))</f>
        <v/>
      </c>
      <c r="F1824" s="13"/>
      <c r="G1824" s="13"/>
      <c r="H1824" s="9" t="str">
        <f aca="false">IF(D1824="","",IFERROR(INDEX(Materiali!$C:$C,MATCH(D1824,Materiali!$A:$A,0)),0))</f>
        <v/>
      </c>
      <c r="I1824" s="9" t="str">
        <f aca="false">IF(OR(G1824="",H1824=""),"",IF(F1824="Uscita",-1,1)*G1824*H1824)</f>
        <v/>
      </c>
      <c r="J1824" s="13"/>
      <c r="K1824" s="13"/>
    </row>
    <row r="1825" customFormat="false" ht="15" hidden="false" customHeight="false" outlineLevel="0" collapsed="false">
      <c r="A1825" s="12"/>
      <c r="B1825" s="13"/>
      <c r="C1825" s="13"/>
      <c r="D1825" s="13"/>
      <c r="E1825" s="7" t="str">
        <f aca="false">IF(D1825="","",IFERROR(INDEX(Materiali!$B:$B,MATCH(D1825,Materiali!$A:$A,0)),"codice?"))</f>
        <v/>
      </c>
      <c r="F1825" s="13"/>
      <c r="G1825" s="13"/>
      <c r="H1825" s="9" t="str">
        <f aca="false">IF(D1825="","",IFERROR(INDEX(Materiali!$C:$C,MATCH(D1825,Materiali!$A:$A,0)),0))</f>
        <v/>
      </c>
      <c r="I1825" s="9" t="str">
        <f aca="false">IF(OR(G1825="",H1825=""),"",IF(F1825="Uscita",-1,1)*G1825*H1825)</f>
        <v/>
      </c>
      <c r="J1825" s="13"/>
      <c r="K1825" s="13"/>
    </row>
    <row r="1826" customFormat="false" ht="15" hidden="false" customHeight="false" outlineLevel="0" collapsed="false">
      <c r="A1826" s="12"/>
      <c r="B1826" s="13"/>
      <c r="C1826" s="13"/>
      <c r="D1826" s="13"/>
      <c r="E1826" s="7" t="str">
        <f aca="false">IF(D1826="","",IFERROR(INDEX(Materiali!$B:$B,MATCH(D1826,Materiali!$A:$A,0)),"codice?"))</f>
        <v/>
      </c>
      <c r="F1826" s="13"/>
      <c r="G1826" s="13"/>
      <c r="H1826" s="9" t="str">
        <f aca="false">IF(D1826="","",IFERROR(INDEX(Materiali!$C:$C,MATCH(D1826,Materiali!$A:$A,0)),0))</f>
        <v/>
      </c>
      <c r="I1826" s="9" t="str">
        <f aca="false">IF(OR(G1826="",H1826=""),"",IF(F1826="Uscita",-1,1)*G1826*H1826)</f>
        <v/>
      </c>
      <c r="J1826" s="13"/>
      <c r="K1826" s="13"/>
    </row>
    <row r="1827" customFormat="false" ht="15" hidden="false" customHeight="false" outlineLevel="0" collapsed="false">
      <c r="A1827" s="12"/>
      <c r="B1827" s="13"/>
      <c r="C1827" s="13"/>
      <c r="D1827" s="13"/>
      <c r="E1827" s="7" t="str">
        <f aca="false">IF(D1827="","",IFERROR(INDEX(Materiali!$B:$B,MATCH(D1827,Materiali!$A:$A,0)),"codice?"))</f>
        <v/>
      </c>
      <c r="F1827" s="13"/>
      <c r="G1827" s="13"/>
      <c r="H1827" s="9" t="str">
        <f aca="false">IF(D1827="","",IFERROR(INDEX(Materiali!$C:$C,MATCH(D1827,Materiali!$A:$A,0)),0))</f>
        <v/>
      </c>
      <c r="I1827" s="9" t="str">
        <f aca="false">IF(OR(G1827="",H1827=""),"",IF(F1827="Uscita",-1,1)*G1827*H1827)</f>
        <v/>
      </c>
      <c r="J1827" s="13"/>
      <c r="K1827" s="13"/>
    </row>
    <row r="1828" customFormat="false" ht="15" hidden="false" customHeight="false" outlineLevel="0" collapsed="false">
      <c r="A1828" s="12"/>
      <c r="B1828" s="13"/>
      <c r="C1828" s="13"/>
      <c r="D1828" s="13"/>
      <c r="E1828" s="7" t="str">
        <f aca="false">IF(D1828="","",IFERROR(INDEX(Materiali!$B:$B,MATCH(D1828,Materiali!$A:$A,0)),"codice?"))</f>
        <v/>
      </c>
      <c r="F1828" s="13"/>
      <c r="G1828" s="13"/>
      <c r="H1828" s="9" t="str">
        <f aca="false">IF(D1828="","",IFERROR(INDEX(Materiali!$C:$C,MATCH(D1828,Materiali!$A:$A,0)),0))</f>
        <v/>
      </c>
      <c r="I1828" s="9" t="str">
        <f aca="false">IF(OR(G1828="",H1828=""),"",IF(F1828="Uscita",-1,1)*G1828*H1828)</f>
        <v/>
      </c>
      <c r="J1828" s="13"/>
      <c r="K1828" s="13"/>
    </row>
    <row r="1829" customFormat="false" ht="15" hidden="false" customHeight="false" outlineLevel="0" collapsed="false">
      <c r="A1829" s="12"/>
      <c r="B1829" s="13"/>
      <c r="C1829" s="13"/>
      <c r="D1829" s="13"/>
      <c r="E1829" s="7" t="str">
        <f aca="false">IF(D1829="","",IFERROR(INDEX(Materiali!$B:$B,MATCH(D1829,Materiali!$A:$A,0)),"codice?"))</f>
        <v/>
      </c>
      <c r="F1829" s="13"/>
      <c r="G1829" s="13"/>
      <c r="H1829" s="9" t="str">
        <f aca="false">IF(D1829="","",IFERROR(INDEX(Materiali!$C:$C,MATCH(D1829,Materiali!$A:$A,0)),0))</f>
        <v/>
      </c>
      <c r="I1829" s="9" t="str">
        <f aca="false">IF(OR(G1829="",H1829=""),"",IF(F1829="Uscita",-1,1)*G1829*H1829)</f>
        <v/>
      </c>
      <c r="J1829" s="13"/>
      <c r="K1829" s="13"/>
    </row>
    <row r="1830" customFormat="false" ht="15" hidden="false" customHeight="false" outlineLevel="0" collapsed="false">
      <c r="A1830" s="12"/>
      <c r="B1830" s="13"/>
      <c r="C1830" s="13"/>
      <c r="D1830" s="13"/>
      <c r="E1830" s="7" t="str">
        <f aca="false">IF(D1830="","",IFERROR(INDEX(Materiali!$B:$B,MATCH(D1830,Materiali!$A:$A,0)),"codice?"))</f>
        <v/>
      </c>
      <c r="F1830" s="13"/>
      <c r="G1830" s="13"/>
      <c r="H1830" s="9" t="str">
        <f aca="false">IF(D1830="","",IFERROR(INDEX(Materiali!$C:$C,MATCH(D1830,Materiali!$A:$A,0)),0))</f>
        <v/>
      </c>
      <c r="I1830" s="9" t="str">
        <f aca="false">IF(OR(G1830="",H1830=""),"",IF(F1830="Uscita",-1,1)*G1830*H1830)</f>
        <v/>
      </c>
      <c r="J1830" s="13"/>
      <c r="K1830" s="13"/>
    </row>
    <row r="1831" customFormat="false" ht="15" hidden="false" customHeight="false" outlineLevel="0" collapsed="false">
      <c r="A1831" s="12"/>
      <c r="B1831" s="13"/>
      <c r="C1831" s="13"/>
      <c r="D1831" s="13"/>
      <c r="E1831" s="7" t="str">
        <f aca="false">IF(D1831="","",IFERROR(INDEX(Materiali!$B:$B,MATCH(D1831,Materiali!$A:$A,0)),"codice?"))</f>
        <v/>
      </c>
      <c r="F1831" s="13"/>
      <c r="G1831" s="13"/>
      <c r="H1831" s="9" t="str">
        <f aca="false">IF(D1831="","",IFERROR(INDEX(Materiali!$C:$C,MATCH(D1831,Materiali!$A:$A,0)),0))</f>
        <v/>
      </c>
      <c r="I1831" s="9" t="str">
        <f aca="false">IF(OR(G1831="",H1831=""),"",IF(F1831="Uscita",-1,1)*G1831*H1831)</f>
        <v/>
      </c>
      <c r="J1831" s="13"/>
      <c r="K1831" s="13"/>
    </row>
    <row r="1832" customFormat="false" ht="15" hidden="false" customHeight="false" outlineLevel="0" collapsed="false">
      <c r="A1832" s="12"/>
      <c r="B1832" s="13"/>
      <c r="C1832" s="13"/>
      <c r="D1832" s="13"/>
      <c r="E1832" s="7" t="str">
        <f aca="false">IF(D1832="","",IFERROR(INDEX(Materiali!$B:$B,MATCH(D1832,Materiali!$A:$A,0)),"codice?"))</f>
        <v/>
      </c>
      <c r="F1832" s="13"/>
      <c r="G1832" s="13"/>
      <c r="H1832" s="9" t="str">
        <f aca="false">IF(D1832="","",IFERROR(INDEX(Materiali!$C:$C,MATCH(D1832,Materiali!$A:$A,0)),0))</f>
        <v/>
      </c>
      <c r="I1832" s="9" t="str">
        <f aca="false">IF(OR(G1832="",H1832=""),"",IF(F1832="Uscita",-1,1)*G1832*H1832)</f>
        <v/>
      </c>
      <c r="J1832" s="13"/>
      <c r="K1832" s="13"/>
    </row>
    <row r="1833" customFormat="false" ht="15" hidden="false" customHeight="false" outlineLevel="0" collapsed="false">
      <c r="A1833" s="12"/>
      <c r="B1833" s="13"/>
      <c r="C1833" s="13"/>
      <c r="D1833" s="13"/>
      <c r="E1833" s="7" t="str">
        <f aca="false">IF(D1833="","",IFERROR(INDEX(Materiali!$B:$B,MATCH(D1833,Materiali!$A:$A,0)),"codice?"))</f>
        <v/>
      </c>
      <c r="F1833" s="13"/>
      <c r="G1833" s="13"/>
      <c r="H1833" s="9" t="str">
        <f aca="false">IF(D1833="","",IFERROR(INDEX(Materiali!$C:$C,MATCH(D1833,Materiali!$A:$A,0)),0))</f>
        <v/>
      </c>
      <c r="I1833" s="9" t="str">
        <f aca="false">IF(OR(G1833="",H1833=""),"",IF(F1833="Uscita",-1,1)*G1833*H1833)</f>
        <v/>
      </c>
      <c r="J1833" s="13"/>
      <c r="K1833" s="13"/>
    </row>
    <row r="1834" customFormat="false" ht="15" hidden="false" customHeight="false" outlineLevel="0" collapsed="false">
      <c r="A1834" s="12"/>
      <c r="B1834" s="13"/>
      <c r="C1834" s="13"/>
      <c r="D1834" s="13"/>
      <c r="E1834" s="7" t="str">
        <f aca="false">IF(D1834="","",IFERROR(INDEX(Materiali!$B:$B,MATCH(D1834,Materiali!$A:$A,0)),"codice?"))</f>
        <v/>
      </c>
      <c r="F1834" s="13"/>
      <c r="G1834" s="13"/>
      <c r="H1834" s="9" t="str">
        <f aca="false">IF(D1834="","",IFERROR(INDEX(Materiali!$C:$C,MATCH(D1834,Materiali!$A:$A,0)),0))</f>
        <v/>
      </c>
      <c r="I1834" s="9" t="str">
        <f aca="false">IF(OR(G1834="",H1834=""),"",IF(F1834="Uscita",-1,1)*G1834*H1834)</f>
        <v/>
      </c>
      <c r="J1834" s="13"/>
      <c r="K1834" s="13"/>
    </row>
    <row r="1835" customFormat="false" ht="15" hidden="false" customHeight="false" outlineLevel="0" collapsed="false">
      <c r="A1835" s="12"/>
      <c r="B1835" s="13"/>
      <c r="C1835" s="13"/>
      <c r="D1835" s="13"/>
      <c r="E1835" s="7" t="str">
        <f aca="false">IF(D1835="","",IFERROR(INDEX(Materiali!$B:$B,MATCH(D1835,Materiali!$A:$A,0)),"codice?"))</f>
        <v/>
      </c>
      <c r="F1835" s="13"/>
      <c r="G1835" s="13"/>
      <c r="H1835" s="9" t="str">
        <f aca="false">IF(D1835="","",IFERROR(INDEX(Materiali!$C:$C,MATCH(D1835,Materiali!$A:$A,0)),0))</f>
        <v/>
      </c>
      <c r="I1835" s="9" t="str">
        <f aca="false">IF(OR(G1835="",H1835=""),"",IF(F1835="Uscita",-1,1)*G1835*H1835)</f>
        <v/>
      </c>
      <c r="J1835" s="13"/>
      <c r="K1835" s="13"/>
    </row>
    <row r="1836" customFormat="false" ht="15" hidden="false" customHeight="false" outlineLevel="0" collapsed="false">
      <c r="A1836" s="12"/>
      <c r="B1836" s="13"/>
      <c r="C1836" s="13"/>
      <c r="D1836" s="13"/>
      <c r="E1836" s="7" t="str">
        <f aca="false">IF(D1836="","",IFERROR(INDEX(Materiali!$B:$B,MATCH(D1836,Materiali!$A:$A,0)),"codice?"))</f>
        <v/>
      </c>
      <c r="F1836" s="13"/>
      <c r="G1836" s="13"/>
      <c r="H1836" s="9" t="str">
        <f aca="false">IF(D1836="","",IFERROR(INDEX(Materiali!$C:$C,MATCH(D1836,Materiali!$A:$A,0)),0))</f>
        <v/>
      </c>
      <c r="I1836" s="9" t="str">
        <f aca="false">IF(OR(G1836="",H1836=""),"",IF(F1836="Uscita",-1,1)*G1836*H1836)</f>
        <v/>
      </c>
      <c r="J1836" s="13"/>
      <c r="K1836" s="13"/>
    </row>
    <row r="1837" customFormat="false" ht="15" hidden="false" customHeight="false" outlineLevel="0" collapsed="false">
      <c r="A1837" s="12"/>
      <c r="B1837" s="13"/>
      <c r="C1837" s="13"/>
      <c r="D1837" s="13"/>
      <c r="E1837" s="7" t="str">
        <f aca="false">IF(D1837="","",IFERROR(INDEX(Materiali!$B:$B,MATCH(D1837,Materiali!$A:$A,0)),"codice?"))</f>
        <v/>
      </c>
      <c r="F1837" s="13"/>
      <c r="G1837" s="13"/>
      <c r="H1837" s="9" t="str">
        <f aca="false">IF(D1837="","",IFERROR(INDEX(Materiali!$C:$C,MATCH(D1837,Materiali!$A:$A,0)),0))</f>
        <v/>
      </c>
      <c r="I1837" s="9" t="str">
        <f aca="false">IF(OR(G1837="",H1837=""),"",IF(F1837="Uscita",-1,1)*G1837*H1837)</f>
        <v/>
      </c>
      <c r="J1837" s="13"/>
      <c r="K1837" s="13"/>
    </row>
    <row r="1838" customFormat="false" ht="15" hidden="false" customHeight="false" outlineLevel="0" collapsed="false">
      <c r="A1838" s="12"/>
      <c r="B1838" s="13"/>
      <c r="C1838" s="13"/>
      <c r="D1838" s="13"/>
      <c r="E1838" s="7" t="str">
        <f aca="false">IF(D1838="","",IFERROR(INDEX(Materiali!$B:$B,MATCH(D1838,Materiali!$A:$A,0)),"codice?"))</f>
        <v/>
      </c>
      <c r="F1838" s="13"/>
      <c r="G1838" s="13"/>
      <c r="H1838" s="9" t="str">
        <f aca="false">IF(D1838="","",IFERROR(INDEX(Materiali!$C:$C,MATCH(D1838,Materiali!$A:$A,0)),0))</f>
        <v/>
      </c>
      <c r="I1838" s="9" t="str">
        <f aca="false">IF(OR(G1838="",H1838=""),"",IF(F1838="Uscita",-1,1)*G1838*H1838)</f>
        <v/>
      </c>
      <c r="J1838" s="13"/>
      <c r="K1838" s="13"/>
    </row>
    <row r="1839" customFormat="false" ht="15" hidden="false" customHeight="false" outlineLevel="0" collapsed="false">
      <c r="A1839" s="12"/>
      <c r="B1839" s="13"/>
      <c r="C1839" s="13"/>
      <c r="D1839" s="13"/>
      <c r="E1839" s="7" t="str">
        <f aca="false">IF(D1839="","",IFERROR(INDEX(Materiali!$B:$B,MATCH(D1839,Materiali!$A:$A,0)),"codice?"))</f>
        <v/>
      </c>
      <c r="F1839" s="13"/>
      <c r="G1839" s="13"/>
      <c r="H1839" s="9" t="str">
        <f aca="false">IF(D1839="","",IFERROR(INDEX(Materiali!$C:$C,MATCH(D1839,Materiali!$A:$A,0)),0))</f>
        <v/>
      </c>
      <c r="I1839" s="9" t="str">
        <f aca="false">IF(OR(G1839="",H1839=""),"",IF(F1839="Uscita",-1,1)*G1839*H1839)</f>
        <v/>
      </c>
      <c r="J1839" s="13"/>
      <c r="K1839" s="13"/>
    </row>
    <row r="1840" customFormat="false" ht="15" hidden="false" customHeight="false" outlineLevel="0" collapsed="false">
      <c r="A1840" s="12"/>
      <c r="B1840" s="13"/>
      <c r="C1840" s="13"/>
      <c r="D1840" s="13"/>
      <c r="E1840" s="7" t="str">
        <f aca="false">IF(D1840="","",IFERROR(INDEX(Materiali!$B:$B,MATCH(D1840,Materiali!$A:$A,0)),"codice?"))</f>
        <v/>
      </c>
      <c r="F1840" s="13"/>
      <c r="G1840" s="13"/>
      <c r="H1840" s="9" t="str">
        <f aca="false">IF(D1840="","",IFERROR(INDEX(Materiali!$C:$C,MATCH(D1840,Materiali!$A:$A,0)),0))</f>
        <v/>
      </c>
      <c r="I1840" s="9" t="str">
        <f aca="false">IF(OR(G1840="",H1840=""),"",IF(F1840="Uscita",-1,1)*G1840*H1840)</f>
        <v/>
      </c>
      <c r="J1840" s="13"/>
      <c r="K1840" s="13"/>
    </row>
    <row r="1841" customFormat="false" ht="15" hidden="false" customHeight="false" outlineLevel="0" collapsed="false">
      <c r="A1841" s="12"/>
      <c r="B1841" s="13"/>
      <c r="C1841" s="13"/>
      <c r="D1841" s="13"/>
      <c r="E1841" s="7" t="str">
        <f aca="false">IF(D1841="","",IFERROR(INDEX(Materiali!$B:$B,MATCH(D1841,Materiali!$A:$A,0)),"codice?"))</f>
        <v/>
      </c>
      <c r="F1841" s="13"/>
      <c r="G1841" s="13"/>
      <c r="H1841" s="9" t="str">
        <f aca="false">IF(D1841="","",IFERROR(INDEX(Materiali!$C:$C,MATCH(D1841,Materiali!$A:$A,0)),0))</f>
        <v/>
      </c>
      <c r="I1841" s="9" t="str">
        <f aca="false">IF(OR(G1841="",H1841=""),"",IF(F1841="Uscita",-1,1)*G1841*H1841)</f>
        <v/>
      </c>
      <c r="J1841" s="13"/>
      <c r="K1841" s="13"/>
    </row>
    <row r="1842" customFormat="false" ht="15" hidden="false" customHeight="false" outlineLevel="0" collapsed="false">
      <c r="A1842" s="12"/>
      <c r="B1842" s="13"/>
      <c r="C1842" s="13"/>
      <c r="D1842" s="13"/>
      <c r="E1842" s="7" t="str">
        <f aca="false">IF(D1842="","",IFERROR(INDEX(Materiali!$B:$B,MATCH(D1842,Materiali!$A:$A,0)),"codice?"))</f>
        <v/>
      </c>
      <c r="F1842" s="13"/>
      <c r="G1842" s="13"/>
      <c r="H1842" s="9" t="str">
        <f aca="false">IF(D1842="","",IFERROR(INDEX(Materiali!$C:$C,MATCH(D1842,Materiali!$A:$A,0)),0))</f>
        <v/>
      </c>
      <c r="I1842" s="9" t="str">
        <f aca="false">IF(OR(G1842="",H1842=""),"",IF(F1842="Uscita",-1,1)*G1842*H1842)</f>
        <v/>
      </c>
      <c r="J1842" s="13"/>
      <c r="K1842" s="13"/>
    </row>
    <row r="1843" customFormat="false" ht="15" hidden="false" customHeight="false" outlineLevel="0" collapsed="false">
      <c r="A1843" s="12"/>
      <c r="B1843" s="13"/>
      <c r="C1843" s="13"/>
      <c r="D1843" s="13"/>
      <c r="E1843" s="7" t="str">
        <f aca="false">IF(D1843="","",IFERROR(INDEX(Materiali!$B:$B,MATCH(D1843,Materiali!$A:$A,0)),"codice?"))</f>
        <v/>
      </c>
      <c r="F1843" s="13"/>
      <c r="G1843" s="13"/>
      <c r="H1843" s="9" t="str">
        <f aca="false">IF(D1843="","",IFERROR(INDEX(Materiali!$C:$C,MATCH(D1843,Materiali!$A:$A,0)),0))</f>
        <v/>
      </c>
      <c r="I1843" s="9" t="str">
        <f aca="false">IF(OR(G1843="",H1843=""),"",IF(F1843="Uscita",-1,1)*G1843*H1843)</f>
        <v/>
      </c>
      <c r="J1843" s="13"/>
      <c r="K1843" s="13"/>
    </row>
    <row r="1844" customFormat="false" ht="15" hidden="false" customHeight="false" outlineLevel="0" collapsed="false">
      <c r="A1844" s="12"/>
      <c r="B1844" s="13"/>
      <c r="C1844" s="13"/>
      <c r="D1844" s="13"/>
      <c r="E1844" s="7" t="str">
        <f aca="false">IF(D1844="","",IFERROR(INDEX(Materiali!$B:$B,MATCH(D1844,Materiali!$A:$A,0)),"codice?"))</f>
        <v/>
      </c>
      <c r="F1844" s="13"/>
      <c r="G1844" s="13"/>
      <c r="H1844" s="9" t="str">
        <f aca="false">IF(D1844="","",IFERROR(INDEX(Materiali!$C:$C,MATCH(D1844,Materiali!$A:$A,0)),0))</f>
        <v/>
      </c>
      <c r="I1844" s="9" t="str">
        <f aca="false">IF(OR(G1844="",H1844=""),"",IF(F1844="Uscita",-1,1)*G1844*H1844)</f>
        <v/>
      </c>
      <c r="J1844" s="13"/>
      <c r="K1844" s="13"/>
    </row>
    <row r="1845" customFormat="false" ht="15" hidden="false" customHeight="false" outlineLevel="0" collapsed="false">
      <c r="A1845" s="12"/>
      <c r="B1845" s="13"/>
      <c r="C1845" s="13"/>
      <c r="D1845" s="13"/>
      <c r="E1845" s="7" t="str">
        <f aca="false">IF(D1845="","",IFERROR(INDEX(Materiali!$B:$B,MATCH(D1845,Materiali!$A:$A,0)),"codice?"))</f>
        <v/>
      </c>
      <c r="F1845" s="13"/>
      <c r="G1845" s="13"/>
      <c r="H1845" s="9" t="str">
        <f aca="false">IF(D1845="","",IFERROR(INDEX(Materiali!$C:$C,MATCH(D1845,Materiali!$A:$A,0)),0))</f>
        <v/>
      </c>
      <c r="I1845" s="9" t="str">
        <f aca="false">IF(OR(G1845="",H1845=""),"",IF(F1845="Uscita",-1,1)*G1845*H1845)</f>
        <v/>
      </c>
      <c r="J1845" s="13"/>
      <c r="K1845" s="13"/>
    </row>
    <row r="1846" customFormat="false" ht="15" hidden="false" customHeight="false" outlineLevel="0" collapsed="false">
      <c r="A1846" s="12"/>
      <c r="B1846" s="13"/>
      <c r="C1846" s="13"/>
      <c r="D1846" s="13"/>
      <c r="E1846" s="7" t="str">
        <f aca="false">IF(D1846="","",IFERROR(INDEX(Materiali!$B:$B,MATCH(D1846,Materiali!$A:$A,0)),"codice?"))</f>
        <v/>
      </c>
      <c r="F1846" s="13"/>
      <c r="G1846" s="13"/>
      <c r="H1846" s="9" t="str">
        <f aca="false">IF(D1846="","",IFERROR(INDEX(Materiali!$C:$C,MATCH(D1846,Materiali!$A:$A,0)),0))</f>
        <v/>
      </c>
      <c r="I1846" s="9" t="str">
        <f aca="false">IF(OR(G1846="",H1846=""),"",IF(F1846="Uscita",-1,1)*G1846*H1846)</f>
        <v/>
      </c>
      <c r="J1846" s="13"/>
      <c r="K1846" s="13"/>
    </row>
    <row r="1847" customFormat="false" ht="15" hidden="false" customHeight="false" outlineLevel="0" collapsed="false">
      <c r="A1847" s="12"/>
      <c r="B1847" s="13"/>
      <c r="C1847" s="13"/>
      <c r="D1847" s="13"/>
      <c r="E1847" s="7" t="str">
        <f aca="false">IF(D1847="","",IFERROR(INDEX(Materiali!$B:$B,MATCH(D1847,Materiali!$A:$A,0)),"codice?"))</f>
        <v/>
      </c>
      <c r="F1847" s="13"/>
      <c r="G1847" s="13"/>
      <c r="H1847" s="9" t="str">
        <f aca="false">IF(D1847="","",IFERROR(INDEX(Materiali!$C:$C,MATCH(D1847,Materiali!$A:$A,0)),0))</f>
        <v/>
      </c>
      <c r="I1847" s="9" t="str">
        <f aca="false">IF(OR(G1847="",H1847=""),"",IF(F1847="Uscita",-1,1)*G1847*H1847)</f>
        <v/>
      </c>
      <c r="J1847" s="13"/>
      <c r="K1847" s="13"/>
    </row>
    <row r="1848" customFormat="false" ht="15" hidden="false" customHeight="false" outlineLevel="0" collapsed="false">
      <c r="A1848" s="12"/>
      <c r="B1848" s="13"/>
      <c r="C1848" s="13"/>
      <c r="D1848" s="13"/>
      <c r="E1848" s="7" t="str">
        <f aca="false">IF(D1848="","",IFERROR(INDEX(Materiali!$B:$B,MATCH(D1848,Materiali!$A:$A,0)),"codice?"))</f>
        <v/>
      </c>
      <c r="F1848" s="13"/>
      <c r="G1848" s="13"/>
      <c r="H1848" s="9" t="str">
        <f aca="false">IF(D1848="","",IFERROR(INDEX(Materiali!$C:$C,MATCH(D1848,Materiali!$A:$A,0)),0))</f>
        <v/>
      </c>
      <c r="I1848" s="9" t="str">
        <f aca="false">IF(OR(G1848="",H1848=""),"",IF(F1848="Uscita",-1,1)*G1848*H1848)</f>
        <v/>
      </c>
      <c r="J1848" s="13"/>
      <c r="K1848" s="13"/>
    </row>
    <row r="1849" customFormat="false" ht="15" hidden="false" customHeight="false" outlineLevel="0" collapsed="false">
      <c r="A1849" s="12"/>
      <c r="B1849" s="13"/>
      <c r="C1849" s="13"/>
      <c r="D1849" s="13"/>
      <c r="E1849" s="7" t="str">
        <f aca="false">IF(D1849="","",IFERROR(INDEX(Materiali!$B:$B,MATCH(D1849,Materiali!$A:$A,0)),"codice?"))</f>
        <v/>
      </c>
      <c r="F1849" s="13"/>
      <c r="G1849" s="13"/>
      <c r="H1849" s="9" t="str">
        <f aca="false">IF(D1849="","",IFERROR(INDEX(Materiali!$C:$C,MATCH(D1849,Materiali!$A:$A,0)),0))</f>
        <v/>
      </c>
      <c r="I1849" s="9" t="str">
        <f aca="false">IF(OR(G1849="",H1849=""),"",IF(F1849="Uscita",-1,1)*G1849*H1849)</f>
        <v/>
      </c>
      <c r="J1849" s="13"/>
      <c r="K1849" s="13"/>
    </row>
    <row r="1850" customFormat="false" ht="15" hidden="false" customHeight="false" outlineLevel="0" collapsed="false">
      <c r="A1850" s="12"/>
      <c r="B1850" s="13"/>
      <c r="C1850" s="13"/>
      <c r="D1850" s="13"/>
      <c r="E1850" s="7" t="str">
        <f aca="false">IF(D1850="","",IFERROR(INDEX(Materiali!$B:$B,MATCH(D1850,Materiali!$A:$A,0)),"codice?"))</f>
        <v/>
      </c>
      <c r="F1850" s="13"/>
      <c r="G1850" s="13"/>
      <c r="H1850" s="9" t="str">
        <f aca="false">IF(D1850="","",IFERROR(INDEX(Materiali!$C:$C,MATCH(D1850,Materiali!$A:$A,0)),0))</f>
        <v/>
      </c>
      <c r="I1850" s="9" t="str">
        <f aca="false">IF(OR(G1850="",H1850=""),"",IF(F1850="Uscita",-1,1)*G1850*H1850)</f>
        <v/>
      </c>
      <c r="J1850" s="13"/>
      <c r="K1850" s="13"/>
    </row>
    <row r="1851" customFormat="false" ht="15" hidden="false" customHeight="false" outlineLevel="0" collapsed="false">
      <c r="A1851" s="12"/>
      <c r="B1851" s="13"/>
      <c r="C1851" s="13"/>
      <c r="D1851" s="13"/>
      <c r="E1851" s="7" t="str">
        <f aca="false">IF(D1851="","",IFERROR(INDEX(Materiali!$B:$B,MATCH(D1851,Materiali!$A:$A,0)),"codice?"))</f>
        <v/>
      </c>
      <c r="F1851" s="13"/>
      <c r="G1851" s="13"/>
      <c r="H1851" s="9" t="str">
        <f aca="false">IF(D1851="","",IFERROR(INDEX(Materiali!$C:$C,MATCH(D1851,Materiali!$A:$A,0)),0))</f>
        <v/>
      </c>
      <c r="I1851" s="9" t="str">
        <f aca="false">IF(OR(G1851="",H1851=""),"",IF(F1851="Uscita",-1,1)*G1851*H1851)</f>
        <v/>
      </c>
      <c r="J1851" s="13"/>
      <c r="K1851" s="13"/>
    </row>
    <row r="1852" customFormat="false" ht="15" hidden="false" customHeight="false" outlineLevel="0" collapsed="false">
      <c r="A1852" s="12"/>
      <c r="B1852" s="13"/>
      <c r="C1852" s="13"/>
      <c r="D1852" s="13"/>
      <c r="E1852" s="7" t="str">
        <f aca="false">IF(D1852="","",IFERROR(INDEX(Materiali!$B:$B,MATCH(D1852,Materiali!$A:$A,0)),"codice?"))</f>
        <v/>
      </c>
      <c r="F1852" s="13"/>
      <c r="G1852" s="13"/>
      <c r="H1852" s="9" t="str">
        <f aca="false">IF(D1852="","",IFERROR(INDEX(Materiali!$C:$C,MATCH(D1852,Materiali!$A:$A,0)),0))</f>
        <v/>
      </c>
      <c r="I1852" s="9" t="str">
        <f aca="false">IF(OR(G1852="",H1852=""),"",IF(F1852="Uscita",-1,1)*G1852*H1852)</f>
        <v/>
      </c>
      <c r="J1852" s="13"/>
      <c r="K1852" s="13"/>
    </row>
    <row r="1853" customFormat="false" ht="15" hidden="false" customHeight="false" outlineLevel="0" collapsed="false">
      <c r="A1853" s="12"/>
      <c r="B1853" s="13"/>
      <c r="C1853" s="13"/>
      <c r="D1853" s="13"/>
      <c r="E1853" s="7" t="str">
        <f aca="false">IF(D1853="","",IFERROR(INDEX(Materiali!$B:$B,MATCH(D1853,Materiali!$A:$A,0)),"codice?"))</f>
        <v/>
      </c>
      <c r="F1853" s="13"/>
      <c r="G1853" s="13"/>
      <c r="H1853" s="9" t="str">
        <f aca="false">IF(D1853="","",IFERROR(INDEX(Materiali!$C:$C,MATCH(D1853,Materiali!$A:$A,0)),0))</f>
        <v/>
      </c>
      <c r="I1853" s="9" t="str">
        <f aca="false">IF(OR(G1853="",H1853=""),"",IF(F1853="Uscita",-1,1)*G1853*H1853)</f>
        <v/>
      </c>
      <c r="J1853" s="13"/>
      <c r="K1853" s="13"/>
    </row>
    <row r="1854" customFormat="false" ht="15" hidden="false" customHeight="false" outlineLevel="0" collapsed="false">
      <c r="A1854" s="12"/>
      <c r="B1854" s="13"/>
      <c r="C1854" s="13"/>
      <c r="D1854" s="13"/>
      <c r="E1854" s="7" t="str">
        <f aca="false">IF(D1854="","",IFERROR(INDEX(Materiali!$B:$B,MATCH(D1854,Materiali!$A:$A,0)),"codice?"))</f>
        <v/>
      </c>
      <c r="F1854" s="13"/>
      <c r="G1854" s="13"/>
      <c r="H1854" s="9" t="str">
        <f aca="false">IF(D1854="","",IFERROR(INDEX(Materiali!$C:$C,MATCH(D1854,Materiali!$A:$A,0)),0))</f>
        <v/>
      </c>
      <c r="I1854" s="9" t="str">
        <f aca="false">IF(OR(G1854="",H1854=""),"",IF(F1854="Uscita",-1,1)*G1854*H1854)</f>
        <v/>
      </c>
      <c r="J1854" s="13"/>
      <c r="K1854" s="13"/>
    </row>
    <row r="1855" customFormat="false" ht="15" hidden="false" customHeight="false" outlineLevel="0" collapsed="false">
      <c r="A1855" s="12"/>
      <c r="B1855" s="13"/>
      <c r="C1855" s="13"/>
      <c r="D1855" s="13"/>
      <c r="E1855" s="7" t="str">
        <f aca="false">IF(D1855="","",IFERROR(INDEX(Materiali!$B:$B,MATCH(D1855,Materiali!$A:$A,0)),"codice?"))</f>
        <v/>
      </c>
      <c r="F1855" s="13"/>
      <c r="G1855" s="13"/>
      <c r="H1855" s="9" t="str">
        <f aca="false">IF(D1855="","",IFERROR(INDEX(Materiali!$C:$C,MATCH(D1855,Materiali!$A:$A,0)),0))</f>
        <v/>
      </c>
      <c r="I1855" s="9" t="str">
        <f aca="false">IF(OR(G1855="",H1855=""),"",IF(F1855="Uscita",-1,1)*G1855*H1855)</f>
        <v/>
      </c>
      <c r="J1855" s="13"/>
      <c r="K1855" s="13"/>
    </row>
    <row r="1856" customFormat="false" ht="15" hidden="false" customHeight="false" outlineLevel="0" collapsed="false">
      <c r="A1856" s="12"/>
      <c r="B1856" s="13"/>
      <c r="C1856" s="13"/>
      <c r="D1856" s="13"/>
      <c r="E1856" s="7" t="str">
        <f aca="false">IF(D1856="","",IFERROR(INDEX(Materiali!$B:$B,MATCH(D1856,Materiali!$A:$A,0)),"codice?"))</f>
        <v/>
      </c>
      <c r="F1856" s="13"/>
      <c r="G1856" s="13"/>
      <c r="H1856" s="9" t="str">
        <f aca="false">IF(D1856="","",IFERROR(INDEX(Materiali!$C:$C,MATCH(D1856,Materiali!$A:$A,0)),0))</f>
        <v/>
      </c>
      <c r="I1856" s="9" t="str">
        <f aca="false">IF(OR(G1856="",H1856=""),"",IF(F1856="Uscita",-1,1)*G1856*H1856)</f>
        <v/>
      </c>
      <c r="J1856" s="13"/>
      <c r="K1856" s="13"/>
    </row>
    <row r="1857" customFormat="false" ht="15" hidden="false" customHeight="false" outlineLevel="0" collapsed="false">
      <c r="A1857" s="12"/>
      <c r="B1857" s="13"/>
      <c r="C1857" s="13"/>
      <c r="D1857" s="13"/>
      <c r="E1857" s="7" t="str">
        <f aca="false">IF(D1857="","",IFERROR(INDEX(Materiali!$B:$B,MATCH(D1857,Materiali!$A:$A,0)),"codice?"))</f>
        <v/>
      </c>
      <c r="F1857" s="13"/>
      <c r="G1857" s="13"/>
      <c r="H1857" s="9" t="str">
        <f aca="false">IF(D1857="","",IFERROR(INDEX(Materiali!$C:$C,MATCH(D1857,Materiali!$A:$A,0)),0))</f>
        <v/>
      </c>
      <c r="I1857" s="9" t="str">
        <f aca="false">IF(OR(G1857="",H1857=""),"",IF(F1857="Uscita",-1,1)*G1857*H1857)</f>
        <v/>
      </c>
      <c r="J1857" s="13"/>
      <c r="K1857" s="13"/>
    </row>
    <row r="1858" customFormat="false" ht="15" hidden="false" customHeight="false" outlineLevel="0" collapsed="false">
      <c r="A1858" s="12"/>
      <c r="B1858" s="13"/>
      <c r="C1858" s="13"/>
      <c r="D1858" s="13"/>
      <c r="E1858" s="7" t="str">
        <f aca="false">IF(D1858="","",IFERROR(INDEX(Materiali!$B:$B,MATCH(D1858,Materiali!$A:$A,0)),"codice?"))</f>
        <v/>
      </c>
      <c r="F1858" s="13"/>
      <c r="G1858" s="13"/>
      <c r="H1858" s="9" t="str">
        <f aca="false">IF(D1858="","",IFERROR(INDEX(Materiali!$C:$C,MATCH(D1858,Materiali!$A:$A,0)),0))</f>
        <v/>
      </c>
      <c r="I1858" s="9" t="str">
        <f aca="false">IF(OR(G1858="",H1858=""),"",IF(F1858="Uscita",-1,1)*G1858*H1858)</f>
        <v/>
      </c>
      <c r="J1858" s="13"/>
      <c r="K1858" s="13"/>
    </row>
    <row r="1859" customFormat="false" ht="15" hidden="false" customHeight="false" outlineLevel="0" collapsed="false">
      <c r="A1859" s="12"/>
      <c r="B1859" s="13"/>
      <c r="C1859" s="13"/>
      <c r="D1859" s="13"/>
      <c r="E1859" s="7" t="str">
        <f aca="false">IF(D1859="","",IFERROR(INDEX(Materiali!$B:$B,MATCH(D1859,Materiali!$A:$A,0)),"codice?"))</f>
        <v/>
      </c>
      <c r="F1859" s="13"/>
      <c r="G1859" s="13"/>
      <c r="H1859" s="9" t="str">
        <f aca="false">IF(D1859="","",IFERROR(INDEX(Materiali!$C:$C,MATCH(D1859,Materiali!$A:$A,0)),0))</f>
        <v/>
      </c>
      <c r="I1859" s="9" t="str">
        <f aca="false">IF(OR(G1859="",H1859=""),"",IF(F1859="Uscita",-1,1)*G1859*H1859)</f>
        <v/>
      </c>
      <c r="J1859" s="13"/>
      <c r="K1859" s="13"/>
    </row>
    <row r="1860" customFormat="false" ht="15" hidden="false" customHeight="false" outlineLevel="0" collapsed="false">
      <c r="A1860" s="12"/>
      <c r="B1860" s="13"/>
      <c r="C1860" s="13"/>
      <c r="D1860" s="13"/>
      <c r="E1860" s="7" t="str">
        <f aca="false">IF(D1860="","",IFERROR(INDEX(Materiali!$B:$B,MATCH(D1860,Materiali!$A:$A,0)),"codice?"))</f>
        <v/>
      </c>
      <c r="F1860" s="13"/>
      <c r="G1860" s="13"/>
      <c r="H1860" s="9" t="str">
        <f aca="false">IF(D1860="","",IFERROR(INDEX(Materiali!$C:$C,MATCH(D1860,Materiali!$A:$A,0)),0))</f>
        <v/>
      </c>
      <c r="I1860" s="9" t="str">
        <f aca="false">IF(OR(G1860="",H1860=""),"",IF(F1860="Uscita",-1,1)*G1860*H1860)</f>
        <v/>
      </c>
      <c r="J1860" s="13"/>
      <c r="K1860" s="13"/>
    </row>
    <row r="1861" customFormat="false" ht="15" hidden="false" customHeight="false" outlineLevel="0" collapsed="false">
      <c r="A1861" s="12"/>
      <c r="B1861" s="13"/>
      <c r="C1861" s="13"/>
      <c r="D1861" s="13"/>
      <c r="E1861" s="7" t="str">
        <f aca="false">IF(D1861="","",IFERROR(INDEX(Materiali!$B:$B,MATCH(D1861,Materiali!$A:$A,0)),"codice?"))</f>
        <v/>
      </c>
      <c r="F1861" s="13"/>
      <c r="G1861" s="13"/>
      <c r="H1861" s="9" t="str">
        <f aca="false">IF(D1861="","",IFERROR(INDEX(Materiali!$C:$C,MATCH(D1861,Materiali!$A:$A,0)),0))</f>
        <v/>
      </c>
      <c r="I1861" s="9" t="str">
        <f aca="false">IF(OR(G1861="",H1861=""),"",IF(F1861="Uscita",-1,1)*G1861*H1861)</f>
        <v/>
      </c>
      <c r="J1861" s="13"/>
      <c r="K1861" s="13"/>
    </row>
    <row r="1862" customFormat="false" ht="15" hidden="false" customHeight="false" outlineLevel="0" collapsed="false">
      <c r="A1862" s="12"/>
      <c r="B1862" s="13"/>
      <c r="C1862" s="13"/>
      <c r="D1862" s="13"/>
      <c r="E1862" s="7" t="str">
        <f aca="false">IF(D1862="","",IFERROR(INDEX(Materiali!$B:$B,MATCH(D1862,Materiali!$A:$A,0)),"codice?"))</f>
        <v/>
      </c>
      <c r="F1862" s="13"/>
      <c r="G1862" s="13"/>
      <c r="H1862" s="9" t="str">
        <f aca="false">IF(D1862="","",IFERROR(INDEX(Materiali!$C:$C,MATCH(D1862,Materiali!$A:$A,0)),0))</f>
        <v/>
      </c>
      <c r="I1862" s="9" t="str">
        <f aca="false">IF(OR(G1862="",H1862=""),"",IF(F1862="Uscita",-1,1)*G1862*H1862)</f>
        <v/>
      </c>
      <c r="J1862" s="13"/>
      <c r="K1862" s="13"/>
    </row>
    <row r="1863" customFormat="false" ht="15" hidden="false" customHeight="false" outlineLevel="0" collapsed="false">
      <c r="A1863" s="12"/>
      <c r="B1863" s="13"/>
      <c r="C1863" s="13"/>
      <c r="D1863" s="13"/>
      <c r="E1863" s="7" t="str">
        <f aca="false">IF(D1863="","",IFERROR(INDEX(Materiali!$B:$B,MATCH(D1863,Materiali!$A:$A,0)),"codice?"))</f>
        <v/>
      </c>
      <c r="F1863" s="13"/>
      <c r="G1863" s="13"/>
      <c r="H1863" s="9" t="str">
        <f aca="false">IF(D1863="","",IFERROR(INDEX(Materiali!$C:$C,MATCH(D1863,Materiali!$A:$A,0)),0))</f>
        <v/>
      </c>
      <c r="I1863" s="9" t="str">
        <f aca="false">IF(OR(G1863="",H1863=""),"",IF(F1863="Uscita",-1,1)*G1863*H1863)</f>
        <v/>
      </c>
      <c r="J1863" s="13"/>
      <c r="K1863" s="13"/>
    </row>
    <row r="1864" customFormat="false" ht="15" hidden="false" customHeight="false" outlineLevel="0" collapsed="false">
      <c r="A1864" s="12"/>
      <c r="B1864" s="13"/>
      <c r="C1864" s="13"/>
      <c r="D1864" s="13"/>
      <c r="E1864" s="7" t="str">
        <f aca="false">IF(D1864="","",IFERROR(INDEX(Materiali!$B:$B,MATCH(D1864,Materiali!$A:$A,0)),"codice?"))</f>
        <v/>
      </c>
      <c r="F1864" s="13"/>
      <c r="G1864" s="13"/>
      <c r="H1864" s="9" t="str">
        <f aca="false">IF(D1864="","",IFERROR(INDEX(Materiali!$C:$C,MATCH(D1864,Materiali!$A:$A,0)),0))</f>
        <v/>
      </c>
      <c r="I1864" s="9" t="str">
        <f aca="false">IF(OR(G1864="",H1864=""),"",IF(F1864="Uscita",-1,1)*G1864*H1864)</f>
        <v/>
      </c>
      <c r="J1864" s="13"/>
      <c r="K1864" s="13"/>
    </row>
    <row r="1865" customFormat="false" ht="15" hidden="false" customHeight="false" outlineLevel="0" collapsed="false">
      <c r="A1865" s="12"/>
      <c r="B1865" s="13"/>
      <c r="C1865" s="13"/>
      <c r="D1865" s="13"/>
      <c r="E1865" s="7" t="str">
        <f aca="false">IF(D1865="","",IFERROR(INDEX(Materiali!$B:$B,MATCH(D1865,Materiali!$A:$A,0)),"codice?"))</f>
        <v/>
      </c>
      <c r="F1865" s="13"/>
      <c r="G1865" s="13"/>
      <c r="H1865" s="9" t="str">
        <f aca="false">IF(D1865="","",IFERROR(INDEX(Materiali!$C:$C,MATCH(D1865,Materiali!$A:$A,0)),0))</f>
        <v/>
      </c>
      <c r="I1865" s="9" t="str">
        <f aca="false">IF(OR(G1865="",H1865=""),"",IF(F1865="Uscita",-1,1)*G1865*H1865)</f>
        <v/>
      </c>
      <c r="J1865" s="13"/>
      <c r="K1865" s="13"/>
    </row>
    <row r="1866" customFormat="false" ht="15" hidden="false" customHeight="false" outlineLevel="0" collapsed="false">
      <c r="A1866" s="12"/>
      <c r="B1866" s="13"/>
      <c r="C1866" s="13"/>
      <c r="D1866" s="13"/>
      <c r="E1866" s="7" t="str">
        <f aca="false">IF(D1866="","",IFERROR(INDEX(Materiali!$B:$B,MATCH(D1866,Materiali!$A:$A,0)),"codice?"))</f>
        <v/>
      </c>
      <c r="F1866" s="13"/>
      <c r="G1866" s="13"/>
      <c r="H1866" s="9" t="str">
        <f aca="false">IF(D1866="","",IFERROR(INDEX(Materiali!$C:$C,MATCH(D1866,Materiali!$A:$A,0)),0))</f>
        <v/>
      </c>
      <c r="I1866" s="9" t="str">
        <f aca="false">IF(OR(G1866="",H1866=""),"",IF(F1866="Uscita",-1,1)*G1866*H1866)</f>
        <v/>
      </c>
      <c r="J1866" s="13"/>
      <c r="K1866" s="13"/>
    </row>
    <row r="1867" customFormat="false" ht="15" hidden="false" customHeight="false" outlineLevel="0" collapsed="false">
      <c r="A1867" s="12"/>
      <c r="B1867" s="13"/>
      <c r="C1867" s="13"/>
      <c r="D1867" s="13"/>
      <c r="E1867" s="7" t="str">
        <f aca="false">IF(D1867="","",IFERROR(INDEX(Materiali!$B:$B,MATCH(D1867,Materiali!$A:$A,0)),"codice?"))</f>
        <v/>
      </c>
      <c r="F1867" s="13"/>
      <c r="G1867" s="13"/>
      <c r="H1867" s="9" t="str">
        <f aca="false">IF(D1867="","",IFERROR(INDEX(Materiali!$C:$C,MATCH(D1867,Materiali!$A:$A,0)),0))</f>
        <v/>
      </c>
      <c r="I1867" s="9" t="str">
        <f aca="false">IF(OR(G1867="",H1867=""),"",IF(F1867="Uscita",-1,1)*G1867*H1867)</f>
        <v/>
      </c>
      <c r="J1867" s="13"/>
      <c r="K1867" s="13"/>
    </row>
    <row r="1868" customFormat="false" ht="15" hidden="false" customHeight="false" outlineLevel="0" collapsed="false">
      <c r="A1868" s="12"/>
      <c r="B1868" s="13"/>
      <c r="C1868" s="13"/>
      <c r="D1868" s="13"/>
      <c r="E1868" s="7" t="str">
        <f aca="false">IF(D1868="","",IFERROR(INDEX(Materiali!$B:$B,MATCH(D1868,Materiali!$A:$A,0)),"codice?"))</f>
        <v/>
      </c>
      <c r="F1868" s="13"/>
      <c r="G1868" s="13"/>
      <c r="H1868" s="9" t="str">
        <f aca="false">IF(D1868="","",IFERROR(INDEX(Materiali!$C:$C,MATCH(D1868,Materiali!$A:$A,0)),0))</f>
        <v/>
      </c>
      <c r="I1868" s="9" t="str">
        <f aca="false">IF(OR(G1868="",H1868=""),"",IF(F1868="Uscita",-1,1)*G1868*H1868)</f>
        <v/>
      </c>
      <c r="J1868" s="13"/>
      <c r="K1868" s="13"/>
    </row>
    <row r="1869" customFormat="false" ht="15" hidden="false" customHeight="false" outlineLevel="0" collapsed="false">
      <c r="A1869" s="12"/>
      <c r="B1869" s="13"/>
      <c r="C1869" s="13"/>
      <c r="D1869" s="13"/>
      <c r="E1869" s="7" t="str">
        <f aca="false">IF(D1869="","",IFERROR(INDEX(Materiali!$B:$B,MATCH(D1869,Materiali!$A:$A,0)),"codice?"))</f>
        <v/>
      </c>
      <c r="F1869" s="13"/>
      <c r="G1869" s="13"/>
      <c r="H1869" s="9" t="str">
        <f aca="false">IF(D1869="","",IFERROR(INDEX(Materiali!$C:$C,MATCH(D1869,Materiali!$A:$A,0)),0))</f>
        <v/>
      </c>
      <c r="I1869" s="9" t="str">
        <f aca="false">IF(OR(G1869="",H1869=""),"",IF(F1869="Uscita",-1,1)*G1869*H1869)</f>
        <v/>
      </c>
      <c r="J1869" s="13"/>
      <c r="K1869" s="13"/>
    </row>
    <row r="1870" customFormat="false" ht="15" hidden="false" customHeight="false" outlineLevel="0" collapsed="false">
      <c r="A1870" s="12"/>
      <c r="B1870" s="13"/>
      <c r="C1870" s="13"/>
      <c r="D1870" s="13"/>
      <c r="E1870" s="7" t="str">
        <f aca="false">IF(D1870="","",IFERROR(INDEX(Materiali!$B:$B,MATCH(D1870,Materiali!$A:$A,0)),"codice?"))</f>
        <v/>
      </c>
      <c r="F1870" s="13"/>
      <c r="G1870" s="13"/>
      <c r="H1870" s="9" t="str">
        <f aca="false">IF(D1870="","",IFERROR(INDEX(Materiali!$C:$C,MATCH(D1870,Materiali!$A:$A,0)),0))</f>
        <v/>
      </c>
      <c r="I1870" s="9" t="str">
        <f aca="false">IF(OR(G1870="",H1870=""),"",IF(F1870="Uscita",-1,1)*G1870*H1870)</f>
        <v/>
      </c>
      <c r="J1870" s="13"/>
      <c r="K1870" s="13"/>
    </row>
    <row r="1871" customFormat="false" ht="15" hidden="false" customHeight="false" outlineLevel="0" collapsed="false">
      <c r="A1871" s="12"/>
      <c r="B1871" s="13"/>
      <c r="C1871" s="13"/>
      <c r="D1871" s="13"/>
      <c r="E1871" s="7" t="str">
        <f aca="false">IF(D1871="","",IFERROR(INDEX(Materiali!$B:$B,MATCH(D1871,Materiali!$A:$A,0)),"codice?"))</f>
        <v/>
      </c>
      <c r="F1871" s="13"/>
      <c r="G1871" s="13"/>
      <c r="H1871" s="9" t="str">
        <f aca="false">IF(D1871="","",IFERROR(INDEX(Materiali!$C:$C,MATCH(D1871,Materiali!$A:$A,0)),0))</f>
        <v/>
      </c>
      <c r="I1871" s="9" t="str">
        <f aca="false">IF(OR(G1871="",H1871=""),"",IF(F1871="Uscita",-1,1)*G1871*H1871)</f>
        <v/>
      </c>
      <c r="J1871" s="13"/>
      <c r="K1871" s="13"/>
    </row>
    <row r="1872" customFormat="false" ht="15" hidden="false" customHeight="false" outlineLevel="0" collapsed="false">
      <c r="A1872" s="12"/>
      <c r="B1872" s="13"/>
      <c r="C1872" s="13"/>
      <c r="D1872" s="13"/>
      <c r="E1872" s="7" t="str">
        <f aca="false">IF(D1872="","",IFERROR(INDEX(Materiali!$B:$B,MATCH(D1872,Materiali!$A:$A,0)),"codice?"))</f>
        <v/>
      </c>
      <c r="F1872" s="13"/>
      <c r="G1872" s="13"/>
      <c r="H1872" s="9" t="str">
        <f aca="false">IF(D1872="","",IFERROR(INDEX(Materiali!$C:$C,MATCH(D1872,Materiali!$A:$A,0)),0))</f>
        <v/>
      </c>
      <c r="I1872" s="9" t="str">
        <f aca="false">IF(OR(G1872="",H1872=""),"",IF(F1872="Uscita",-1,1)*G1872*H1872)</f>
        <v/>
      </c>
      <c r="J1872" s="13"/>
      <c r="K1872" s="13"/>
    </row>
    <row r="1873" customFormat="false" ht="15" hidden="false" customHeight="false" outlineLevel="0" collapsed="false">
      <c r="A1873" s="12"/>
      <c r="B1873" s="13"/>
      <c r="C1873" s="13"/>
      <c r="D1873" s="13"/>
      <c r="E1873" s="7" t="str">
        <f aca="false">IF(D1873="","",IFERROR(INDEX(Materiali!$B:$B,MATCH(D1873,Materiali!$A:$A,0)),"codice?"))</f>
        <v/>
      </c>
      <c r="F1873" s="13"/>
      <c r="G1873" s="13"/>
      <c r="H1873" s="9" t="str">
        <f aca="false">IF(D1873="","",IFERROR(INDEX(Materiali!$C:$C,MATCH(D1873,Materiali!$A:$A,0)),0))</f>
        <v/>
      </c>
      <c r="I1873" s="9" t="str">
        <f aca="false">IF(OR(G1873="",H1873=""),"",IF(F1873="Uscita",-1,1)*G1873*H1873)</f>
        <v/>
      </c>
      <c r="J1873" s="13"/>
      <c r="K1873" s="13"/>
    </row>
    <row r="1874" customFormat="false" ht="15" hidden="false" customHeight="false" outlineLevel="0" collapsed="false">
      <c r="A1874" s="12"/>
      <c r="B1874" s="13"/>
      <c r="C1874" s="13"/>
      <c r="D1874" s="13"/>
      <c r="E1874" s="7" t="str">
        <f aca="false">IF(D1874="","",IFERROR(INDEX(Materiali!$B:$B,MATCH(D1874,Materiali!$A:$A,0)),"codice?"))</f>
        <v/>
      </c>
      <c r="F1874" s="13"/>
      <c r="G1874" s="13"/>
      <c r="H1874" s="9" t="str">
        <f aca="false">IF(D1874="","",IFERROR(INDEX(Materiali!$C:$C,MATCH(D1874,Materiali!$A:$A,0)),0))</f>
        <v/>
      </c>
      <c r="I1874" s="9" t="str">
        <f aca="false">IF(OR(G1874="",H1874=""),"",IF(F1874="Uscita",-1,1)*G1874*H1874)</f>
        <v/>
      </c>
      <c r="J1874" s="13"/>
      <c r="K1874" s="13"/>
    </row>
    <row r="1875" customFormat="false" ht="15" hidden="false" customHeight="false" outlineLevel="0" collapsed="false">
      <c r="A1875" s="12"/>
      <c r="B1875" s="13"/>
      <c r="C1875" s="13"/>
      <c r="D1875" s="13"/>
      <c r="E1875" s="7" t="str">
        <f aca="false">IF(D1875="","",IFERROR(INDEX(Materiali!$B:$B,MATCH(D1875,Materiali!$A:$A,0)),"codice?"))</f>
        <v/>
      </c>
      <c r="F1875" s="13"/>
      <c r="G1875" s="13"/>
      <c r="H1875" s="9" t="str">
        <f aca="false">IF(D1875="","",IFERROR(INDEX(Materiali!$C:$C,MATCH(D1875,Materiali!$A:$A,0)),0))</f>
        <v/>
      </c>
      <c r="I1875" s="9" t="str">
        <f aca="false">IF(OR(G1875="",H1875=""),"",IF(F1875="Uscita",-1,1)*G1875*H1875)</f>
        <v/>
      </c>
      <c r="J1875" s="13"/>
      <c r="K1875" s="13"/>
    </row>
    <row r="1876" customFormat="false" ht="15" hidden="false" customHeight="false" outlineLevel="0" collapsed="false">
      <c r="A1876" s="12"/>
      <c r="B1876" s="13"/>
      <c r="C1876" s="13"/>
      <c r="D1876" s="13"/>
      <c r="E1876" s="7" t="str">
        <f aca="false">IF(D1876="","",IFERROR(INDEX(Materiali!$B:$B,MATCH(D1876,Materiali!$A:$A,0)),"codice?"))</f>
        <v/>
      </c>
      <c r="F1876" s="13"/>
      <c r="G1876" s="13"/>
      <c r="H1876" s="9" t="str">
        <f aca="false">IF(D1876="","",IFERROR(INDEX(Materiali!$C:$C,MATCH(D1876,Materiali!$A:$A,0)),0))</f>
        <v/>
      </c>
      <c r="I1876" s="9" t="str">
        <f aca="false">IF(OR(G1876="",H1876=""),"",IF(F1876="Uscita",-1,1)*G1876*H1876)</f>
        <v/>
      </c>
      <c r="J1876" s="13"/>
      <c r="K1876" s="13"/>
    </row>
    <row r="1877" customFormat="false" ht="15" hidden="false" customHeight="false" outlineLevel="0" collapsed="false">
      <c r="A1877" s="12"/>
      <c r="B1877" s="13"/>
      <c r="C1877" s="13"/>
      <c r="D1877" s="13"/>
      <c r="E1877" s="7" t="str">
        <f aca="false">IF(D1877="","",IFERROR(INDEX(Materiali!$B:$B,MATCH(D1877,Materiali!$A:$A,0)),"codice?"))</f>
        <v/>
      </c>
      <c r="F1877" s="13"/>
      <c r="G1877" s="13"/>
      <c r="H1877" s="9" t="str">
        <f aca="false">IF(D1877="","",IFERROR(INDEX(Materiali!$C:$C,MATCH(D1877,Materiali!$A:$A,0)),0))</f>
        <v/>
      </c>
      <c r="I1877" s="9" t="str">
        <f aca="false">IF(OR(G1877="",H1877=""),"",IF(F1877="Uscita",-1,1)*G1877*H1877)</f>
        <v/>
      </c>
      <c r="J1877" s="13"/>
      <c r="K1877" s="13"/>
    </row>
    <row r="1878" customFormat="false" ht="15" hidden="false" customHeight="false" outlineLevel="0" collapsed="false">
      <c r="A1878" s="12"/>
      <c r="B1878" s="13"/>
      <c r="C1878" s="13"/>
      <c r="D1878" s="13"/>
      <c r="E1878" s="7" t="str">
        <f aca="false">IF(D1878="","",IFERROR(INDEX(Materiali!$B:$B,MATCH(D1878,Materiali!$A:$A,0)),"codice?"))</f>
        <v/>
      </c>
      <c r="F1878" s="13"/>
      <c r="G1878" s="13"/>
      <c r="H1878" s="9" t="str">
        <f aca="false">IF(D1878="","",IFERROR(INDEX(Materiali!$C:$C,MATCH(D1878,Materiali!$A:$A,0)),0))</f>
        <v/>
      </c>
      <c r="I1878" s="9" t="str">
        <f aca="false">IF(OR(G1878="",H1878=""),"",IF(F1878="Uscita",-1,1)*G1878*H1878)</f>
        <v/>
      </c>
      <c r="J1878" s="13"/>
      <c r="K1878" s="13"/>
    </row>
    <row r="1879" customFormat="false" ht="15" hidden="false" customHeight="false" outlineLevel="0" collapsed="false">
      <c r="A1879" s="12"/>
      <c r="B1879" s="13"/>
      <c r="C1879" s="13"/>
      <c r="D1879" s="13"/>
      <c r="E1879" s="7" t="str">
        <f aca="false">IF(D1879="","",IFERROR(INDEX(Materiali!$B:$B,MATCH(D1879,Materiali!$A:$A,0)),"codice?"))</f>
        <v/>
      </c>
      <c r="F1879" s="13"/>
      <c r="G1879" s="13"/>
      <c r="H1879" s="9" t="str">
        <f aca="false">IF(D1879="","",IFERROR(INDEX(Materiali!$C:$C,MATCH(D1879,Materiali!$A:$A,0)),0))</f>
        <v/>
      </c>
      <c r="I1879" s="9" t="str">
        <f aca="false">IF(OR(G1879="",H1879=""),"",IF(F1879="Uscita",-1,1)*G1879*H1879)</f>
        <v/>
      </c>
      <c r="J1879" s="13"/>
      <c r="K1879" s="13"/>
    </row>
    <row r="1880" customFormat="false" ht="15" hidden="false" customHeight="false" outlineLevel="0" collapsed="false">
      <c r="A1880" s="12"/>
      <c r="B1880" s="13"/>
      <c r="C1880" s="13"/>
      <c r="D1880" s="13"/>
      <c r="E1880" s="7" t="str">
        <f aca="false">IF(D1880="","",IFERROR(INDEX(Materiali!$B:$B,MATCH(D1880,Materiali!$A:$A,0)),"codice?"))</f>
        <v/>
      </c>
      <c r="F1880" s="13"/>
      <c r="G1880" s="13"/>
      <c r="H1880" s="9" t="str">
        <f aca="false">IF(D1880="","",IFERROR(INDEX(Materiali!$C:$C,MATCH(D1880,Materiali!$A:$A,0)),0))</f>
        <v/>
      </c>
      <c r="I1880" s="9" t="str">
        <f aca="false">IF(OR(G1880="",H1880=""),"",IF(F1880="Uscita",-1,1)*G1880*H1880)</f>
        <v/>
      </c>
      <c r="J1880" s="13"/>
      <c r="K1880" s="13"/>
    </row>
    <row r="1881" customFormat="false" ht="15" hidden="false" customHeight="false" outlineLevel="0" collapsed="false">
      <c r="A1881" s="12"/>
      <c r="B1881" s="13"/>
      <c r="C1881" s="13"/>
      <c r="D1881" s="13"/>
      <c r="E1881" s="7" t="str">
        <f aca="false">IF(D1881="","",IFERROR(INDEX(Materiali!$B:$B,MATCH(D1881,Materiali!$A:$A,0)),"codice?"))</f>
        <v/>
      </c>
      <c r="F1881" s="13"/>
      <c r="G1881" s="13"/>
      <c r="H1881" s="9" t="str">
        <f aca="false">IF(D1881="","",IFERROR(INDEX(Materiali!$C:$C,MATCH(D1881,Materiali!$A:$A,0)),0))</f>
        <v/>
      </c>
      <c r="I1881" s="9" t="str">
        <f aca="false">IF(OR(G1881="",H1881=""),"",IF(F1881="Uscita",-1,1)*G1881*H1881)</f>
        <v/>
      </c>
      <c r="J1881" s="13"/>
      <c r="K1881" s="13"/>
    </row>
    <row r="1882" customFormat="false" ht="15" hidden="false" customHeight="false" outlineLevel="0" collapsed="false">
      <c r="A1882" s="12"/>
      <c r="B1882" s="13"/>
      <c r="C1882" s="13"/>
      <c r="D1882" s="13"/>
      <c r="E1882" s="7" t="str">
        <f aca="false">IF(D1882="","",IFERROR(INDEX(Materiali!$B:$B,MATCH(D1882,Materiali!$A:$A,0)),"codice?"))</f>
        <v/>
      </c>
      <c r="F1882" s="13"/>
      <c r="G1882" s="13"/>
      <c r="H1882" s="9" t="str">
        <f aca="false">IF(D1882="","",IFERROR(INDEX(Materiali!$C:$C,MATCH(D1882,Materiali!$A:$A,0)),0))</f>
        <v/>
      </c>
      <c r="I1882" s="9" t="str">
        <f aca="false">IF(OR(G1882="",H1882=""),"",IF(F1882="Uscita",-1,1)*G1882*H1882)</f>
        <v/>
      </c>
      <c r="J1882" s="13"/>
      <c r="K1882" s="13"/>
    </row>
    <row r="1883" customFormat="false" ht="15" hidden="false" customHeight="false" outlineLevel="0" collapsed="false">
      <c r="A1883" s="12"/>
      <c r="B1883" s="13"/>
      <c r="C1883" s="13"/>
      <c r="D1883" s="13"/>
      <c r="E1883" s="7" t="str">
        <f aca="false">IF(D1883="","",IFERROR(INDEX(Materiali!$B:$B,MATCH(D1883,Materiali!$A:$A,0)),"codice?"))</f>
        <v/>
      </c>
      <c r="F1883" s="13"/>
      <c r="G1883" s="13"/>
      <c r="H1883" s="9" t="str">
        <f aca="false">IF(D1883="","",IFERROR(INDEX(Materiali!$C:$C,MATCH(D1883,Materiali!$A:$A,0)),0))</f>
        <v/>
      </c>
      <c r="I1883" s="9" t="str">
        <f aca="false">IF(OR(G1883="",H1883=""),"",IF(F1883="Uscita",-1,1)*G1883*H1883)</f>
        <v/>
      </c>
      <c r="J1883" s="13"/>
      <c r="K1883" s="13"/>
    </row>
    <row r="1884" customFormat="false" ht="15" hidden="false" customHeight="false" outlineLevel="0" collapsed="false">
      <c r="A1884" s="12"/>
      <c r="B1884" s="13"/>
      <c r="C1884" s="13"/>
      <c r="D1884" s="13"/>
      <c r="E1884" s="7" t="str">
        <f aca="false">IF(D1884="","",IFERROR(INDEX(Materiali!$B:$B,MATCH(D1884,Materiali!$A:$A,0)),"codice?"))</f>
        <v/>
      </c>
      <c r="F1884" s="13"/>
      <c r="G1884" s="13"/>
      <c r="H1884" s="9" t="str">
        <f aca="false">IF(D1884="","",IFERROR(INDEX(Materiali!$C:$C,MATCH(D1884,Materiali!$A:$A,0)),0))</f>
        <v/>
      </c>
      <c r="I1884" s="9" t="str">
        <f aca="false">IF(OR(G1884="",H1884=""),"",IF(F1884="Uscita",-1,1)*G1884*H1884)</f>
        <v/>
      </c>
      <c r="J1884" s="13"/>
      <c r="K1884" s="13"/>
    </row>
    <row r="1885" customFormat="false" ht="15" hidden="false" customHeight="false" outlineLevel="0" collapsed="false">
      <c r="A1885" s="12"/>
      <c r="B1885" s="13"/>
      <c r="C1885" s="13"/>
      <c r="D1885" s="13"/>
      <c r="E1885" s="7" t="str">
        <f aca="false">IF(D1885="","",IFERROR(INDEX(Materiali!$B:$B,MATCH(D1885,Materiali!$A:$A,0)),"codice?"))</f>
        <v/>
      </c>
      <c r="F1885" s="13"/>
      <c r="G1885" s="13"/>
      <c r="H1885" s="9" t="str">
        <f aca="false">IF(D1885="","",IFERROR(INDEX(Materiali!$C:$C,MATCH(D1885,Materiali!$A:$A,0)),0))</f>
        <v/>
      </c>
      <c r="I1885" s="9" t="str">
        <f aca="false">IF(OR(G1885="",H1885=""),"",IF(F1885="Uscita",-1,1)*G1885*H1885)</f>
        <v/>
      </c>
      <c r="J1885" s="13"/>
      <c r="K1885" s="13"/>
    </row>
    <row r="1886" customFormat="false" ht="15" hidden="false" customHeight="false" outlineLevel="0" collapsed="false">
      <c r="A1886" s="12"/>
      <c r="B1886" s="13"/>
      <c r="C1886" s="13"/>
      <c r="D1886" s="13"/>
      <c r="E1886" s="7" t="str">
        <f aca="false">IF(D1886="","",IFERROR(INDEX(Materiali!$B:$B,MATCH(D1886,Materiali!$A:$A,0)),"codice?"))</f>
        <v/>
      </c>
      <c r="F1886" s="13"/>
      <c r="G1886" s="13"/>
      <c r="H1886" s="9" t="str">
        <f aca="false">IF(D1886="","",IFERROR(INDEX(Materiali!$C:$C,MATCH(D1886,Materiali!$A:$A,0)),0))</f>
        <v/>
      </c>
      <c r="I1886" s="9" t="str">
        <f aca="false">IF(OR(G1886="",H1886=""),"",IF(F1886="Uscita",-1,1)*G1886*H1886)</f>
        <v/>
      </c>
      <c r="J1886" s="13"/>
      <c r="K1886" s="13"/>
    </row>
    <row r="1887" customFormat="false" ht="15" hidden="false" customHeight="false" outlineLevel="0" collapsed="false">
      <c r="A1887" s="12"/>
      <c r="B1887" s="13"/>
      <c r="C1887" s="13"/>
      <c r="D1887" s="13"/>
      <c r="E1887" s="7" t="str">
        <f aca="false">IF(D1887="","",IFERROR(INDEX(Materiali!$B:$B,MATCH(D1887,Materiali!$A:$A,0)),"codice?"))</f>
        <v/>
      </c>
      <c r="F1887" s="13"/>
      <c r="G1887" s="13"/>
      <c r="H1887" s="9" t="str">
        <f aca="false">IF(D1887="","",IFERROR(INDEX(Materiali!$C:$C,MATCH(D1887,Materiali!$A:$A,0)),0))</f>
        <v/>
      </c>
      <c r="I1887" s="9" t="str">
        <f aca="false">IF(OR(G1887="",H1887=""),"",IF(F1887="Uscita",-1,1)*G1887*H1887)</f>
        <v/>
      </c>
      <c r="J1887" s="13"/>
      <c r="K1887" s="13"/>
    </row>
    <row r="1888" customFormat="false" ht="15" hidden="false" customHeight="false" outlineLevel="0" collapsed="false">
      <c r="A1888" s="12"/>
      <c r="B1888" s="13"/>
      <c r="C1888" s="13"/>
      <c r="D1888" s="13"/>
      <c r="E1888" s="7" t="str">
        <f aca="false">IF(D1888="","",IFERROR(INDEX(Materiali!$B:$B,MATCH(D1888,Materiali!$A:$A,0)),"codice?"))</f>
        <v/>
      </c>
      <c r="F1888" s="13"/>
      <c r="G1888" s="13"/>
      <c r="H1888" s="9" t="str">
        <f aca="false">IF(D1888="","",IFERROR(INDEX(Materiali!$C:$C,MATCH(D1888,Materiali!$A:$A,0)),0))</f>
        <v/>
      </c>
      <c r="I1888" s="9" t="str">
        <f aca="false">IF(OR(G1888="",H1888=""),"",IF(F1888="Uscita",-1,1)*G1888*H1888)</f>
        <v/>
      </c>
      <c r="J1888" s="13"/>
      <c r="K1888" s="13"/>
    </row>
    <row r="1889" customFormat="false" ht="15" hidden="false" customHeight="false" outlineLevel="0" collapsed="false">
      <c r="A1889" s="12"/>
      <c r="B1889" s="13"/>
      <c r="C1889" s="13"/>
      <c r="D1889" s="13"/>
      <c r="E1889" s="7" t="str">
        <f aca="false">IF(D1889="","",IFERROR(INDEX(Materiali!$B:$B,MATCH(D1889,Materiali!$A:$A,0)),"codice?"))</f>
        <v/>
      </c>
      <c r="F1889" s="13"/>
      <c r="G1889" s="13"/>
      <c r="H1889" s="9" t="str">
        <f aca="false">IF(D1889="","",IFERROR(INDEX(Materiali!$C:$C,MATCH(D1889,Materiali!$A:$A,0)),0))</f>
        <v/>
      </c>
      <c r="I1889" s="9" t="str">
        <f aca="false">IF(OR(G1889="",H1889=""),"",IF(F1889="Uscita",-1,1)*G1889*H1889)</f>
        <v/>
      </c>
      <c r="J1889" s="13"/>
      <c r="K1889" s="13"/>
    </row>
    <row r="1890" customFormat="false" ht="15" hidden="false" customHeight="false" outlineLevel="0" collapsed="false">
      <c r="A1890" s="12"/>
      <c r="B1890" s="13"/>
      <c r="C1890" s="13"/>
      <c r="D1890" s="13"/>
      <c r="E1890" s="7" t="str">
        <f aca="false">IF(D1890="","",IFERROR(INDEX(Materiali!$B:$B,MATCH(D1890,Materiali!$A:$A,0)),"codice?"))</f>
        <v/>
      </c>
      <c r="F1890" s="13"/>
      <c r="G1890" s="13"/>
      <c r="H1890" s="9" t="str">
        <f aca="false">IF(D1890="","",IFERROR(INDEX(Materiali!$C:$C,MATCH(D1890,Materiali!$A:$A,0)),0))</f>
        <v/>
      </c>
      <c r="I1890" s="9" t="str">
        <f aca="false">IF(OR(G1890="",H1890=""),"",IF(F1890="Uscita",-1,1)*G1890*H1890)</f>
        <v/>
      </c>
      <c r="J1890" s="13"/>
      <c r="K1890" s="13"/>
    </row>
    <row r="1891" customFormat="false" ht="15" hidden="false" customHeight="false" outlineLevel="0" collapsed="false">
      <c r="A1891" s="12"/>
      <c r="B1891" s="13"/>
      <c r="C1891" s="13"/>
      <c r="D1891" s="13"/>
      <c r="E1891" s="7" t="str">
        <f aca="false">IF(D1891="","",IFERROR(INDEX(Materiali!$B:$B,MATCH(D1891,Materiali!$A:$A,0)),"codice?"))</f>
        <v/>
      </c>
      <c r="F1891" s="13"/>
      <c r="G1891" s="13"/>
      <c r="H1891" s="9" t="str">
        <f aca="false">IF(D1891="","",IFERROR(INDEX(Materiali!$C:$C,MATCH(D1891,Materiali!$A:$A,0)),0))</f>
        <v/>
      </c>
      <c r="I1891" s="9" t="str">
        <f aca="false">IF(OR(G1891="",H1891=""),"",IF(F1891="Uscita",-1,1)*G1891*H1891)</f>
        <v/>
      </c>
      <c r="J1891" s="13"/>
      <c r="K1891" s="13"/>
    </row>
    <row r="1892" customFormat="false" ht="15" hidden="false" customHeight="false" outlineLevel="0" collapsed="false">
      <c r="A1892" s="12"/>
      <c r="B1892" s="13"/>
      <c r="C1892" s="13"/>
      <c r="D1892" s="13"/>
      <c r="E1892" s="7" t="str">
        <f aca="false">IF(D1892="","",IFERROR(INDEX(Materiali!$B:$B,MATCH(D1892,Materiali!$A:$A,0)),"codice?"))</f>
        <v/>
      </c>
      <c r="F1892" s="13"/>
      <c r="G1892" s="13"/>
      <c r="H1892" s="9" t="str">
        <f aca="false">IF(D1892="","",IFERROR(INDEX(Materiali!$C:$C,MATCH(D1892,Materiali!$A:$A,0)),0))</f>
        <v/>
      </c>
      <c r="I1892" s="9" t="str">
        <f aca="false">IF(OR(G1892="",H1892=""),"",IF(F1892="Uscita",-1,1)*G1892*H1892)</f>
        <v/>
      </c>
      <c r="J1892" s="13"/>
      <c r="K1892" s="13"/>
    </row>
    <row r="1893" customFormat="false" ht="15" hidden="false" customHeight="false" outlineLevel="0" collapsed="false">
      <c r="A1893" s="12"/>
      <c r="B1893" s="13"/>
      <c r="C1893" s="13"/>
      <c r="D1893" s="13"/>
      <c r="E1893" s="7" t="str">
        <f aca="false">IF(D1893="","",IFERROR(INDEX(Materiali!$B:$B,MATCH(D1893,Materiali!$A:$A,0)),"codice?"))</f>
        <v/>
      </c>
      <c r="F1893" s="13"/>
      <c r="G1893" s="13"/>
      <c r="H1893" s="9" t="str">
        <f aca="false">IF(D1893="","",IFERROR(INDEX(Materiali!$C:$C,MATCH(D1893,Materiali!$A:$A,0)),0))</f>
        <v/>
      </c>
      <c r="I1893" s="9" t="str">
        <f aca="false">IF(OR(G1893="",H1893=""),"",IF(F1893="Uscita",-1,1)*G1893*H1893)</f>
        <v/>
      </c>
      <c r="J1893" s="13"/>
      <c r="K1893" s="13"/>
    </row>
    <row r="1894" customFormat="false" ht="15" hidden="false" customHeight="false" outlineLevel="0" collapsed="false">
      <c r="A1894" s="12"/>
      <c r="B1894" s="13"/>
      <c r="C1894" s="13"/>
      <c r="D1894" s="13"/>
      <c r="E1894" s="7" t="str">
        <f aca="false">IF(D1894="","",IFERROR(INDEX(Materiali!$B:$B,MATCH(D1894,Materiali!$A:$A,0)),"codice?"))</f>
        <v/>
      </c>
      <c r="F1894" s="13"/>
      <c r="G1894" s="13"/>
      <c r="H1894" s="9" t="str">
        <f aca="false">IF(D1894="","",IFERROR(INDEX(Materiali!$C:$C,MATCH(D1894,Materiali!$A:$A,0)),0))</f>
        <v/>
      </c>
      <c r="I1894" s="9" t="str">
        <f aca="false">IF(OR(G1894="",H1894=""),"",IF(F1894="Uscita",-1,1)*G1894*H1894)</f>
        <v/>
      </c>
      <c r="J1894" s="13"/>
      <c r="K1894" s="13"/>
    </row>
    <row r="1895" customFormat="false" ht="15" hidden="false" customHeight="false" outlineLevel="0" collapsed="false">
      <c r="A1895" s="12"/>
      <c r="B1895" s="13"/>
      <c r="C1895" s="13"/>
      <c r="D1895" s="13"/>
      <c r="E1895" s="7" t="str">
        <f aca="false">IF(D1895="","",IFERROR(INDEX(Materiali!$B:$B,MATCH(D1895,Materiali!$A:$A,0)),"codice?"))</f>
        <v/>
      </c>
      <c r="F1895" s="13"/>
      <c r="G1895" s="13"/>
      <c r="H1895" s="9" t="str">
        <f aca="false">IF(D1895="","",IFERROR(INDEX(Materiali!$C:$C,MATCH(D1895,Materiali!$A:$A,0)),0))</f>
        <v/>
      </c>
      <c r="I1895" s="9" t="str">
        <f aca="false">IF(OR(G1895="",H1895=""),"",IF(F1895="Uscita",-1,1)*G1895*H1895)</f>
        <v/>
      </c>
      <c r="J1895" s="13"/>
      <c r="K1895" s="13"/>
    </row>
    <row r="1896" customFormat="false" ht="15" hidden="false" customHeight="false" outlineLevel="0" collapsed="false">
      <c r="A1896" s="12"/>
      <c r="B1896" s="13"/>
      <c r="C1896" s="13"/>
      <c r="D1896" s="13"/>
      <c r="E1896" s="7" t="str">
        <f aca="false">IF(D1896="","",IFERROR(INDEX(Materiali!$B:$B,MATCH(D1896,Materiali!$A:$A,0)),"codice?"))</f>
        <v/>
      </c>
      <c r="F1896" s="13"/>
      <c r="G1896" s="13"/>
      <c r="H1896" s="9" t="str">
        <f aca="false">IF(D1896="","",IFERROR(INDEX(Materiali!$C:$C,MATCH(D1896,Materiali!$A:$A,0)),0))</f>
        <v/>
      </c>
      <c r="I1896" s="9" t="str">
        <f aca="false">IF(OR(G1896="",H1896=""),"",IF(F1896="Uscita",-1,1)*G1896*H1896)</f>
        <v/>
      </c>
      <c r="J1896" s="13"/>
      <c r="K1896" s="13"/>
    </row>
    <row r="1897" customFormat="false" ht="15" hidden="false" customHeight="false" outlineLevel="0" collapsed="false">
      <c r="A1897" s="12"/>
      <c r="B1897" s="13"/>
      <c r="C1897" s="13"/>
      <c r="D1897" s="13"/>
      <c r="E1897" s="7" t="str">
        <f aca="false">IF(D1897="","",IFERROR(INDEX(Materiali!$B:$B,MATCH(D1897,Materiali!$A:$A,0)),"codice?"))</f>
        <v/>
      </c>
      <c r="F1897" s="13"/>
      <c r="G1897" s="13"/>
      <c r="H1897" s="9" t="str">
        <f aca="false">IF(D1897="","",IFERROR(INDEX(Materiali!$C:$C,MATCH(D1897,Materiali!$A:$A,0)),0))</f>
        <v/>
      </c>
      <c r="I1897" s="9" t="str">
        <f aca="false">IF(OR(G1897="",H1897=""),"",IF(F1897="Uscita",-1,1)*G1897*H1897)</f>
        <v/>
      </c>
      <c r="J1897" s="13"/>
      <c r="K1897" s="13"/>
    </row>
    <row r="1898" customFormat="false" ht="15" hidden="false" customHeight="false" outlineLevel="0" collapsed="false">
      <c r="A1898" s="12"/>
      <c r="B1898" s="13"/>
      <c r="C1898" s="13"/>
      <c r="D1898" s="13"/>
      <c r="E1898" s="7" t="str">
        <f aca="false">IF(D1898="","",IFERROR(INDEX(Materiali!$B:$B,MATCH(D1898,Materiali!$A:$A,0)),"codice?"))</f>
        <v/>
      </c>
      <c r="F1898" s="13"/>
      <c r="G1898" s="13"/>
      <c r="H1898" s="9" t="str">
        <f aca="false">IF(D1898="","",IFERROR(INDEX(Materiali!$C:$C,MATCH(D1898,Materiali!$A:$A,0)),0))</f>
        <v/>
      </c>
      <c r="I1898" s="9" t="str">
        <f aca="false">IF(OR(G1898="",H1898=""),"",IF(F1898="Uscita",-1,1)*G1898*H1898)</f>
        <v/>
      </c>
      <c r="J1898" s="13"/>
      <c r="K1898" s="13"/>
    </row>
    <row r="1899" customFormat="false" ht="15" hidden="false" customHeight="false" outlineLevel="0" collapsed="false">
      <c r="A1899" s="12"/>
      <c r="B1899" s="13"/>
      <c r="C1899" s="13"/>
      <c r="D1899" s="13"/>
      <c r="E1899" s="7" t="str">
        <f aca="false">IF(D1899="","",IFERROR(INDEX(Materiali!$B:$B,MATCH(D1899,Materiali!$A:$A,0)),"codice?"))</f>
        <v/>
      </c>
      <c r="F1899" s="13"/>
      <c r="G1899" s="13"/>
      <c r="H1899" s="9" t="str">
        <f aca="false">IF(D1899="","",IFERROR(INDEX(Materiali!$C:$C,MATCH(D1899,Materiali!$A:$A,0)),0))</f>
        <v/>
      </c>
      <c r="I1899" s="9" t="str">
        <f aca="false">IF(OR(G1899="",H1899=""),"",IF(F1899="Uscita",-1,1)*G1899*H1899)</f>
        <v/>
      </c>
      <c r="J1899" s="13"/>
      <c r="K1899" s="13"/>
    </row>
    <row r="1900" customFormat="false" ht="15" hidden="false" customHeight="false" outlineLevel="0" collapsed="false">
      <c r="A1900" s="12"/>
      <c r="B1900" s="13"/>
      <c r="C1900" s="13"/>
      <c r="D1900" s="13"/>
      <c r="E1900" s="7" t="str">
        <f aca="false">IF(D1900="","",IFERROR(INDEX(Materiali!$B:$B,MATCH(D1900,Materiali!$A:$A,0)),"codice?"))</f>
        <v/>
      </c>
      <c r="F1900" s="13"/>
      <c r="G1900" s="13"/>
      <c r="H1900" s="9" t="str">
        <f aca="false">IF(D1900="","",IFERROR(INDEX(Materiali!$C:$C,MATCH(D1900,Materiali!$A:$A,0)),0))</f>
        <v/>
      </c>
      <c r="I1900" s="9" t="str">
        <f aca="false">IF(OR(G1900="",H1900=""),"",IF(F1900="Uscita",-1,1)*G1900*H1900)</f>
        <v/>
      </c>
      <c r="J1900" s="13"/>
      <c r="K1900" s="13"/>
    </row>
    <row r="1901" customFormat="false" ht="15" hidden="false" customHeight="false" outlineLevel="0" collapsed="false">
      <c r="A1901" s="12"/>
      <c r="B1901" s="13"/>
      <c r="C1901" s="13"/>
      <c r="D1901" s="13"/>
      <c r="E1901" s="7" t="str">
        <f aca="false">IF(D1901="","",IFERROR(INDEX(Materiali!$B:$B,MATCH(D1901,Materiali!$A:$A,0)),"codice?"))</f>
        <v/>
      </c>
      <c r="F1901" s="13"/>
      <c r="G1901" s="13"/>
      <c r="H1901" s="9" t="str">
        <f aca="false">IF(D1901="","",IFERROR(INDEX(Materiali!$C:$C,MATCH(D1901,Materiali!$A:$A,0)),0))</f>
        <v/>
      </c>
      <c r="I1901" s="9" t="str">
        <f aca="false">IF(OR(G1901="",H1901=""),"",IF(F1901="Uscita",-1,1)*G1901*H1901)</f>
        <v/>
      </c>
      <c r="J1901" s="13"/>
      <c r="K1901" s="13"/>
    </row>
    <row r="1902" customFormat="false" ht="15" hidden="false" customHeight="false" outlineLevel="0" collapsed="false">
      <c r="A1902" s="12"/>
      <c r="B1902" s="13"/>
      <c r="C1902" s="13"/>
      <c r="D1902" s="13"/>
      <c r="E1902" s="7" t="str">
        <f aca="false">IF(D1902="","",IFERROR(INDEX(Materiali!$B:$B,MATCH(D1902,Materiali!$A:$A,0)),"codice?"))</f>
        <v/>
      </c>
      <c r="F1902" s="13"/>
      <c r="G1902" s="13"/>
      <c r="H1902" s="9" t="str">
        <f aca="false">IF(D1902="","",IFERROR(INDEX(Materiali!$C:$C,MATCH(D1902,Materiali!$A:$A,0)),0))</f>
        <v/>
      </c>
      <c r="I1902" s="9" t="str">
        <f aca="false">IF(OR(G1902="",H1902=""),"",IF(F1902="Uscita",-1,1)*G1902*H1902)</f>
        <v/>
      </c>
      <c r="J1902" s="13"/>
      <c r="K1902" s="13"/>
    </row>
    <row r="1903" customFormat="false" ht="15" hidden="false" customHeight="false" outlineLevel="0" collapsed="false">
      <c r="A1903" s="12"/>
      <c r="B1903" s="13"/>
      <c r="C1903" s="13"/>
      <c r="D1903" s="13"/>
      <c r="E1903" s="7" t="str">
        <f aca="false">IF(D1903="","",IFERROR(INDEX(Materiali!$B:$B,MATCH(D1903,Materiali!$A:$A,0)),"codice?"))</f>
        <v/>
      </c>
      <c r="F1903" s="13"/>
      <c r="G1903" s="13"/>
      <c r="H1903" s="9" t="str">
        <f aca="false">IF(D1903="","",IFERROR(INDEX(Materiali!$C:$C,MATCH(D1903,Materiali!$A:$A,0)),0))</f>
        <v/>
      </c>
      <c r="I1903" s="9" t="str">
        <f aca="false">IF(OR(G1903="",H1903=""),"",IF(F1903="Uscita",-1,1)*G1903*H1903)</f>
        <v/>
      </c>
      <c r="J1903" s="13"/>
      <c r="K1903" s="13"/>
    </row>
    <row r="1904" customFormat="false" ht="15" hidden="false" customHeight="false" outlineLevel="0" collapsed="false">
      <c r="A1904" s="12"/>
      <c r="B1904" s="13"/>
      <c r="C1904" s="13"/>
      <c r="D1904" s="13"/>
      <c r="E1904" s="7" t="str">
        <f aca="false">IF(D1904="","",IFERROR(INDEX(Materiali!$B:$B,MATCH(D1904,Materiali!$A:$A,0)),"codice?"))</f>
        <v/>
      </c>
      <c r="F1904" s="13"/>
      <c r="G1904" s="13"/>
      <c r="H1904" s="9" t="str">
        <f aca="false">IF(D1904="","",IFERROR(INDEX(Materiali!$C:$C,MATCH(D1904,Materiali!$A:$A,0)),0))</f>
        <v/>
      </c>
      <c r="I1904" s="9" t="str">
        <f aca="false">IF(OR(G1904="",H1904=""),"",IF(F1904="Uscita",-1,1)*G1904*H1904)</f>
        <v/>
      </c>
      <c r="J1904" s="13"/>
      <c r="K1904" s="13"/>
    </row>
    <row r="1905" customFormat="false" ht="15" hidden="false" customHeight="false" outlineLevel="0" collapsed="false">
      <c r="A1905" s="12"/>
      <c r="B1905" s="13"/>
      <c r="C1905" s="13"/>
      <c r="D1905" s="13"/>
      <c r="E1905" s="7" t="str">
        <f aca="false">IF(D1905="","",IFERROR(INDEX(Materiali!$B:$B,MATCH(D1905,Materiali!$A:$A,0)),"codice?"))</f>
        <v/>
      </c>
      <c r="F1905" s="13"/>
      <c r="G1905" s="13"/>
      <c r="H1905" s="9" t="str">
        <f aca="false">IF(D1905="","",IFERROR(INDEX(Materiali!$C:$C,MATCH(D1905,Materiali!$A:$A,0)),0))</f>
        <v/>
      </c>
      <c r="I1905" s="9" t="str">
        <f aca="false">IF(OR(G1905="",H1905=""),"",IF(F1905="Uscita",-1,1)*G1905*H1905)</f>
        <v/>
      </c>
      <c r="J1905" s="13"/>
      <c r="K1905" s="13"/>
    </row>
    <row r="1906" customFormat="false" ht="15" hidden="false" customHeight="false" outlineLevel="0" collapsed="false">
      <c r="A1906" s="12"/>
      <c r="B1906" s="13"/>
      <c r="C1906" s="13"/>
      <c r="D1906" s="13"/>
      <c r="E1906" s="7" t="str">
        <f aca="false">IF(D1906="","",IFERROR(INDEX(Materiali!$B:$B,MATCH(D1906,Materiali!$A:$A,0)),"codice?"))</f>
        <v/>
      </c>
      <c r="F1906" s="13"/>
      <c r="G1906" s="13"/>
      <c r="H1906" s="9" t="str">
        <f aca="false">IF(D1906="","",IFERROR(INDEX(Materiali!$C:$C,MATCH(D1906,Materiali!$A:$A,0)),0))</f>
        <v/>
      </c>
      <c r="I1906" s="9" t="str">
        <f aca="false">IF(OR(G1906="",H1906=""),"",IF(F1906="Uscita",-1,1)*G1906*H1906)</f>
        <v/>
      </c>
      <c r="J1906" s="13"/>
      <c r="K1906" s="13"/>
    </row>
    <row r="1907" customFormat="false" ht="15" hidden="false" customHeight="false" outlineLevel="0" collapsed="false">
      <c r="A1907" s="12"/>
      <c r="B1907" s="13"/>
      <c r="C1907" s="13"/>
      <c r="D1907" s="13"/>
      <c r="E1907" s="7" t="str">
        <f aca="false">IF(D1907="","",IFERROR(INDEX(Materiali!$B:$B,MATCH(D1907,Materiali!$A:$A,0)),"codice?"))</f>
        <v/>
      </c>
      <c r="F1907" s="13"/>
      <c r="G1907" s="13"/>
      <c r="H1907" s="9" t="str">
        <f aca="false">IF(D1907="","",IFERROR(INDEX(Materiali!$C:$C,MATCH(D1907,Materiali!$A:$A,0)),0))</f>
        <v/>
      </c>
      <c r="I1907" s="9" t="str">
        <f aca="false">IF(OR(G1907="",H1907=""),"",IF(F1907="Uscita",-1,1)*G1907*H1907)</f>
        <v/>
      </c>
      <c r="J1907" s="13"/>
      <c r="K1907" s="13"/>
    </row>
    <row r="1908" customFormat="false" ht="15" hidden="false" customHeight="false" outlineLevel="0" collapsed="false">
      <c r="A1908" s="12"/>
      <c r="B1908" s="13"/>
      <c r="C1908" s="13"/>
      <c r="D1908" s="13"/>
      <c r="E1908" s="7" t="str">
        <f aca="false">IF(D1908="","",IFERROR(INDEX(Materiali!$B:$B,MATCH(D1908,Materiali!$A:$A,0)),"codice?"))</f>
        <v/>
      </c>
      <c r="F1908" s="13"/>
      <c r="G1908" s="13"/>
      <c r="H1908" s="9" t="str">
        <f aca="false">IF(D1908="","",IFERROR(INDEX(Materiali!$C:$C,MATCH(D1908,Materiali!$A:$A,0)),0))</f>
        <v/>
      </c>
      <c r="I1908" s="9" t="str">
        <f aca="false">IF(OR(G1908="",H1908=""),"",IF(F1908="Uscita",-1,1)*G1908*H1908)</f>
        <v/>
      </c>
      <c r="J1908" s="13"/>
      <c r="K1908" s="13"/>
    </row>
    <row r="1909" customFormat="false" ht="15" hidden="false" customHeight="false" outlineLevel="0" collapsed="false">
      <c r="A1909" s="12"/>
      <c r="B1909" s="13"/>
      <c r="C1909" s="13"/>
      <c r="D1909" s="13"/>
      <c r="E1909" s="7" t="str">
        <f aca="false">IF(D1909="","",IFERROR(INDEX(Materiali!$B:$B,MATCH(D1909,Materiali!$A:$A,0)),"codice?"))</f>
        <v/>
      </c>
      <c r="F1909" s="13"/>
      <c r="G1909" s="13"/>
      <c r="H1909" s="9" t="str">
        <f aca="false">IF(D1909="","",IFERROR(INDEX(Materiali!$C:$C,MATCH(D1909,Materiali!$A:$A,0)),0))</f>
        <v/>
      </c>
      <c r="I1909" s="9" t="str">
        <f aca="false">IF(OR(G1909="",H1909=""),"",IF(F1909="Uscita",-1,1)*G1909*H1909)</f>
        <v/>
      </c>
      <c r="J1909" s="13"/>
      <c r="K1909" s="13"/>
    </row>
    <row r="1910" customFormat="false" ht="15" hidden="false" customHeight="false" outlineLevel="0" collapsed="false">
      <c r="A1910" s="12"/>
      <c r="B1910" s="13"/>
      <c r="C1910" s="13"/>
      <c r="D1910" s="13"/>
      <c r="E1910" s="7" t="str">
        <f aca="false">IF(D1910="","",IFERROR(INDEX(Materiali!$B:$B,MATCH(D1910,Materiali!$A:$A,0)),"codice?"))</f>
        <v/>
      </c>
      <c r="F1910" s="13"/>
      <c r="G1910" s="13"/>
      <c r="H1910" s="9" t="str">
        <f aca="false">IF(D1910="","",IFERROR(INDEX(Materiali!$C:$C,MATCH(D1910,Materiali!$A:$A,0)),0))</f>
        <v/>
      </c>
      <c r="I1910" s="9" t="str">
        <f aca="false">IF(OR(G1910="",H1910=""),"",IF(F1910="Uscita",-1,1)*G1910*H1910)</f>
        <v/>
      </c>
      <c r="J1910" s="13"/>
      <c r="K1910" s="13"/>
    </row>
    <row r="1911" customFormat="false" ht="15" hidden="false" customHeight="false" outlineLevel="0" collapsed="false">
      <c r="A1911" s="12"/>
      <c r="B1911" s="13"/>
      <c r="C1911" s="13"/>
      <c r="D1911" s="13"/>
      <c r="E1911" s="7" t="str">
        <f aca="false">IF(D1911="","",IFERROR(INDEX(Materiali!$B:$B,MATCH(D1911,Materiali!$A:$A,0)),"codice?"))</f>
        <v/>
      </c>
      <c r="F1911" s="13"/>
      <c r="G1911" s="13"/>
      <c r="H1911" s="9" t="str">
        <f aca="false">IF(D1911="","",IFERROR(INDEX(Materiali!$C:$C,MATCH(D1911,Materiali!$A:$A,0)),0))</f>
        <v/>
      </c>
      <c r="I1911" s="9" t="str">
        <f aca="false">IF(OR(G1911="",H1911=""),"",IF(F1911="Uscita",-1,1)*G1911*H1911)</f>
        <v/>
      </c>
      <c r="J1911" s="13"/>
      <c r="K1911" s="13"/>
    </row>
    <row r="1912" customFormat="false" ht="15" hidden="false" customHeight="false" outlineLevel="0" collapsed="false">
      <c r="A1912" s="12"/>
      <c r="B1912" s="13"/>
      <c r="C1912" s="13"/>
      <c r="D1912" s="13"/>
      <c r="E1912" s="7" t="str">
        <f aca="false">IF(D1912="","",IFERROR(INDEX(Materiali!$B:$B,MATCH(D1912,Materiali!$A:$A,0)),"codice?"))</f>
        <v/>
      </c>
      <c r="F1912" s="13"/>
      <c r="G1912" s="13"/>
      <c r="H1912" s="9" t="str">
        <f aca="false">IF(D1912="","",IFERROR(INDEX(Materiali!$C:$C,MATCH(D1912,Materiali!$A:$A,0)),0))</f>
        <v/>
      </c>
      <c r="I1912" s="9" t="str">
        <f aca="false">IF(OR(G1912="",H1912=""),"",IF(F1912="Uscita",-1,1)*G1912*H1912)</f>
        <v/>
      </c>
      <c r="J1912" s="13"/>
      <c r="K1912" s="13"/>
    </row>
    <row r="1913" customFormat="false" ht="15" hidden="false" customHeight="false" outlineLevel="0" collapsed="false">
      <c r="A1913" s="12"/>
      <c r="B1913" s="13"/>
      <c r="C1913" s="13"/>
      <c r="D1913" s="13"/>
      <c r="E1913" s="7" t="str">
        <f aca="false">IF(D1913="","",IFERROR(INDEX(Materiali!$B:$B,MATCH(D1913,Materiali!$A:$A,0)),"codice?"))</f>
        <v/>
      </c>
      <c r="F1913" s="13"/>
      <c r="G1913" s="13"/>
      <c r="H1913" s="9" t="str">
        <f aca="false">IF(D1913="","",IFERROR(INDEX(Materiali!$C:$C,MATCH(D1913,Materiali!$A:$A,0)),0))</f>
        <v/>
      </c>
      <c r="I1913" s="9" t="str">
        <f aca="false">IF(OR(G1913="",H1913=""),"",IF(F1913="Uscita",-1,1)*G1913*H1913)</f>
        <v/>
      </c>
      <c r="J1913" s="13"/>
      <c r="K1913" s="13"/>
    </row>
    <row r="1914" customFormat="false" ht="15" hidden="false" customHeight="false" outlineLevel="0" collapsed="false">
      <c r="A1914" s="12"/>
      <c r="B1914" s="13"/>
      <c r="C1914" s="13"/>
      <c r="D1914" s="13"/>
      <c r="E1914" s="7" t="str">
        <f aca="false">IF(D1914="","",IFERROR(INDEX(Materiali!$B:$B,MATCH(D1914,Materiali!$A:$A,0)),"codice?"))</f>
        <v/>
      </c>
      <c r="F1914" s="13"/>
      <c r="G1914" s="13"/>
      <c r="H1914" s="9" t="str">
        <f aca="false">IF(D1914="","",IFERROR(INDEX(Materiali!$C:$C,MATCH(D1914,Materiali!$A:$A,0)),0))</f>
        <v/>
      </c>
      <c r="I1914" s="9" t="str">
        <f aca="false">IF(OR(G1914="",H1914=""),"",IF(F1914="Uscita",-1,1)*G1914*H1914)</f>
        <v/>
      </c>
      <c r="J1914" s="13"/>
      <c r="K1914" s="13"/>
    </row>
    <row r="1915" customFormat="false" ht="15" hidden="false" customHeight="false" outlineLevel="0" collapsed="false">
      <c r="A1915" s="12"/>
      <c r="B1915" s="13"/>
      <c r="C1915" s="13"/>
      <c r="D1915" s="13"/>
      <c r="E1915" s="7" t="str">
        <f aca="false">IF(D1915="","",IFERROR(INDEX(Materiali!$B:$B,MATCH(D1915,Materiali!$A:$A,0)),"codice?"))</f>
        <v/>
      </c>
      <c r="F1915" s="13"/>
      <c r="G1915" s="13"/>
      <c r="H1915" s="9" t="str">
        <f aca="false">IF(D1915="","",IFERROR(INDEX(Materiali!$C:$C,MATCH(D1915,Materiali!$A:$A,0)),0))</f>
        <v/>
      </c>
      <c r="I1915" s="9" t="str">
        <f aca="false">IF(OR(G1915="",H1915=""),"",IF(F1915="Uscita",-1,1)*G1915*H1915)</f>
        <v/>
      </c>
      <c r="J1915" s="13"/>
      <c r="K1915" s="13"/>
    </row>
    <row r="1916" customFormat="false" ht="15" hidden="false" customHeight="false" outlineLevel="0" collapsed="false">
      <c r="A1916" s="12"/>
      <c r="B1916" s="13"/>
      <c r="C1916" s="13"/>
      <c r="D1916" s="13"/>
      <c r="E1916" s="7" t="str">
        <f aca="false">IF(D1916="","",IFERROR(INDEX(Materiali!$B:$B,MATCH(D1916,Materiali!$A:$A,0)),"codice?"))</f>
        <v/>
      </c>
      <c r="F1916" s="13"/>
      <c r="G1916" s="13"/>
      <c r="H1916" s="9" t="str">
        <f aca="false">IF(D1916="","",IFERROR(INDEX(Materiali!$C:$C,MATCH(D1916,Materiali!$A:$A,0)),0))</f>
        <v/>
      </c>
      <c r="I1916" s="9" t="str">
        <f aca="false">IF(OR(G1916="",H1916=""),"",IF(F1916="Uscita",-1,1)*G1916*H1916)</f>
        <v/>
      </c>
      <c r="J1916" s="13"/>
      <c r="K1916" s="13"/>
    </row>
    <row r="1917" customFormat="false" ht="15" hidden="false" customHeight="false" outlineLevel="0" collapsed="false">
      <c r="A1917" s="12"/>
      <c r="B1917" s="13"/>
      <c r="C1917" s="13"/>
      <c r="D1917" s="13"/>
      <c r="E1917" s="7" t="str">
        <f aca="false">IF(D1917="","",IFERROR(INDEX(Materiali!$B:$B,MATCH(D1917,Materiali!$A:$A,0)),"codice?"))</f>
        <v/>
      </c>
      <c r="F1917" s="13"/>
      <c r="G1917" s="13"/>
      <c r="H1917" s="9" t="str">
        <f aca="false">IF(D1917="","",IFERROR(INDEX(Materiali!$C:$C,MATCH(D1917,Materiali!$A:$A,0)),0))</f>
        <v/>
      </c>
      <c r="I1917" s="9" t="str">
        <f aca="false">IF(OR(G1917="",H1917=""),"",IF(F1917="Uscita",-1,1)*G1917*H1917)</f>
        <v/>
      </c>
      <c r="J1917" s="13"/>
      <c r="K1917" s="13"/>
    </row>
    <row r="1918" customFormat="false" ht="15" hidden="false" customHeight="false" outlineLevel="0" collapsed="false">
      <c r="A1918" s="12"/>
      <c r="B1918" s="13"/>
      <c r="C1918" s="13"/>
      <c r="D1918" s="13"/>
      <c r="E1918" s="7" t="str">
        <f aca="false">IF(D1918="","",IFERROR(INDEX(Materiali!$B:$B,MATCH(D1918,Materiali!$A:$A,0)),"codice?"))</f>
        <v/>
      </c>
      <c r="F1918" s="13"/>
      <c r="G1918" s="13"/>
      <c r="H1918" s="9" t="str">
        <f aca="false">IF(D1918="","",IFERROR(INDEX(Materiali!$C:$C,MATCH(D1918,Materiali!$A:$A,0)),0))</f>
        <v/>
      </c>
      <c r="I1918" s="9" t="str">
        <f aca="false">IF(OR(G1918="",H1918=""),"",IF(F1918="Uscita",-1,1)*G1918*H1918)</f>
        <v/>
      </c>
      <c r="J1918" s="13"/>
      <c r="K1918" s="13"/>
    </row>
    <row r="1919" customFormat="false" ht="15" hidden="false" customHeight="false" outlineLevel="0" collapsed="false">
      <c r="A1919" s="12"/>
      <c r="B1919" s="13"/>
      <c r="C1919" s="13"/>
      <c r="D1919" s="13"/>
      <c r="E1919" s="7" t="str">
        <f aca="false">IF(D1919="","",IFERROR(INDEX(Materiali!$B:$B,MATCH(D1919,Materiali!$A:$A,0)),"codice?"))</f>
        <v/>
      </c>
      <c r="F1919" s="13"/>
      <c r="G1919" s="13"/>
      <c r="H1919" s="9" t="str">
        <f aca="false">IF(D1919="","",IFERROR(INDEX(Materiali!$C:$C,MATCH(D1919,Materiali!$A:$A,0)),0))</f>
        <v/>
      </c>
      <c r="I1919" s="9" t="str">
        <f aca="false">IF(OR(G1919="",H1919=""),"",IF(F1919="Uscita",-1,1)*G1919*H1919)</f>
        <v/>
      </c>
      <c r="J1919" s="13"/>
      <c r="K1919" s="13"/>
    </row>
    <row r="1920" customFormat="false" ht="15" hidden="false" customHeight="false" outlineLevel="0" collapsed="false">
      <c r="A1920" s="12"/>
      <c r="B1920" s="13"/>
      <c r="C1920" s="13"/>
      <c r="D1920" s="13"/>
      <c r="E1920" s="7" t="str">
        <f aca="false">IF(D1920="","",IFERROR(INDEX(Materiali!$B:$B,MATCH(D1920,Materiali!$A:$A,0)),"codice?"))</f>
        <v/>
      </c>
      <c r="F1920" s="13"/>
      <c r="G1920" s="13"/>
      <c r="H1920" s="9" t="str">
        <f aca="false">IF(D1920="","",IFERROR(INDEX(Materiali!$C:$C,MATCH(D1920,Materiali!$A:$A,0)),0))</f>
        <v/>
      </c>
      <c r="I1920" s="9" t="str">
        <f aca="false">IF(OR(G1920="",H1920=""),"",IF(F1920="Uscita",-1,1)*G1920*H1920)</f>
        <v/>
      </c>
      <c r="J1920" s="13"/>
      <c r="K1920" s="13"/>
    </row>
    <row r="1921" customFormat="false" ht="15" hidden="false" customHeight="false" outlineLevel="0" collapsed="false">
      <c r="A1921" s="12"/>
      <c r="B1921" s="13"/>
      <c r="C1921" s="13"/>
      <c r="D1921" s="13"/>
      <c r="E1921" s="7" t="str">
        <f aca="false">IF(D1921="","",IFERROR(INDEX(Materiali!$B:$B,MATCH(D1921,Materiali!$A:$A,0)),"codice?"))</f>
        <v/>
      </c>
      <c r="F1921" s="13"/>
      <c r="G1921" s="13"/>
      <c r="H1921" s="9" t="str">
        <f aca="false">IF(D1921="","",IFERROR(INDEX(Materiali!$C:$C,MATCH(D1921,Materiali!$A:$A,0)),0))</f>
        <v/>
      </c>
      <c r="I1921" s="9" t="str">
        <f aca="false">IF(OR(G1921="",H1921=""),"",IF(F1921="Uscita",-1,1)*G1921*H1921)</f>
        <v/>
      </c>
      <c r="J1921" s="13"/>
      <c r="K1921" s="13"/>
    </row>
    <row r="1922" customFormat="false" ht="15" hidden="false" customHeight="false" outlineLevel="0" collapsed="false">
      <c r="A1922" s="12"/>
      <c r="B1922" s="13"/>
      <c r="C1922" s="13"/>
      <c r="D1922" s="13"/>
      <c r="E1922" s="7" t="str">
        <f aca="false">IF(D1922="","",IFERROR(INDEX(Materiali!$B:$B,MATCH(D1922,Materiali!$A:$A,0)),"codice?"))</f>
        <v/>
      </c>
      <c r="F1922" s="13"/>
      <c r="G1922" s="13"/>
      <c r="H1922" s="9" t="str">
        <f aca="false">IF(D1922="","",IFERROR(INDEX(Materiali!$C:$C,MATCH(D1922,Materiali!$A:$A,0)),0))</f>
        <v/>
      </c>
      <c r="I1922" s="9" t="str">
        <f aca="false">IF(OR(G1922="",H1922=""),"",IF(F1922="Uscita",-1,1)*G1922*H1922)</f>
        <v/>
      </c>
      <c r="J1922" s="13"/>
      <c r="K1922" s="13"/>
    </row>
    <row r="1923" customFormat="false" ht="15" hidden="false" customHeight="false" outlineLevel="0" collapsed="false">
      <c r="A1923" s="12"/>
      <c r="B1923" s="13"/>
      <c r="C1923" s="13"/>
      <c r="D1923" s="13"/>
      <c r="E1923" s="7" t="str">
        <f aca="false">IF(D1923="","",IFERROR(INDEX(Materiali!$B:$B,MATCH(D1923,Materiali!$A:$A,0)),"codice?"))</f>
        <v/>
      </c>
      <c r="F1923" s="13"/>
      <c r="G1923" s="13"/>
      <c r="H1923" s="9" t="str">
        <f aca="false">IF(D1923="","",IFERROR(INDEX(Materiali!$C:$C,MATCH(D1923,Materiali!$A:$A,0)),0))</f>
        <v/>
      </c>
      <c r="I1923" s="9" t="str">
        <f aca="false">IF(OR(G1923="",H1923=""),"",IF(F1923="Uscita",-1,1)*G1923*H1923)</f>
        <v/>
      </c>
      <c r="J1923" s="13"/>
      <c r="K1923" s="13"/>
    </row>
    <row r="1924" customFormat="false" ht="15" hidden="false" customHeight="false" outlineLevel="0" collapsed="false">
      <c r="A1924" s="12"/>
      <c r="B1924" s="13"/>
      <c r="C1924" s="13"/>
      <c r="D1924" s="13"/>
      <c r="E1924" s="7" t="str">
        <f aca="false">IF(D1924="","",IFERROR(INDEX(Materiali!$B:$B,MATCH(D1924,Materiali!$A:$A,0)),"codice?"))</f>
        <v/>
      </c>
      <c r="F1924" s="13"/>
      <c r="G1924" s="13"/>
      <c r="H1924" s="9" t="str">
        <f aca="false">IF(D1924="","",IFERROR(INDEX(Materiali!$C:$C,MATCH(D1924,Materiali!$A:$A,0)),0))</f>
        <v/>
      </c>
      <c r="I1924" s="9" t="str">
        <f aca="false">IF(OR(G1924="",H1924=""),"",IF(F1924="Uscita",-1,1)*G1924*H1924)</f>
        <v/>
      </c>
      <c r="J1924" s="13"/>
      <c r="K1924" s="13"/>
    </row>
    <row r="1925" customFormat="false" ht="15" hidden="false" customHeight="false" outlineLevel="0" collapsed="false">
      <c r="A1925" s="12"/>
      <c r="B1925" s="13"/>
      <c r="C1925" s="13"/>
      <c r="D1925" s="13"/>
      <c r="E1925" s="7" t="str">
        <f aca="false">IF(D1925="","",IFERROR(INDEX(Materiali!$B:$B,MATCH(D1925,Materiali!$A:$A,0)),"codice?"))</f>
        <v/>
      </c>
      <c r="F1925" s="13"/>
      <c r="G1925" s="13"/>
      <c r="H1925" s="9" t="str">
        <f aca="false">IF(D1925="","",IFERROR(INDEX(Materiali!$C:$C,MATCH(D1925,Materiali!$A:$A,0)),0))</f>
        <v/>
      </c>
      <c r="I1925" s="9" t="str">
        <f aca="false">IF(OR(G1925="",H1925=""),"",IF(F1925="Uscita",-1,1)*G1925*H1925)</f>
        <v/>
      </c>
      <c r="J1925" s="13"/>
      <c r="K1925" s="13"/>
    </row>
    <row r="1926" customFormat="false" ht="15" hidden="false" customHeight="false" outlineLevel="0" collapsed="false">
      <c r="A1926" s="12"/>
      <c r="B1926" s="13"/>
      <c r="C1926" s="13"/>
      <c r="D1926" s="13"/>
      <c r="E1926" s="7" t="str">
        <f aca="false">IF(D1926="","",IFERROR(INDEX(Materiali!$B:$B,MATCH(D1926,Materiali!$A:$A,0)),"codice?"))</f>
        <v/>
      </c>
      <c r="F1926" s="13"/>
      <c r="G1926" s="13"/>
      <c r="H1926" s="9" t="str">
        <f aca="false">IF(D1926="","",IFERROR(INDEX(Materiali!$C:$C,MATCH(D1926,Materiali!$A:$A,0)),0))</f>
        <v/>
      </c>
      <c r="I1926" s="9" t="str">
        <f aca="false">IF(OR(G1926="",H1926=""),"",IF(F1926="Uscita",-1,1)*G1926*H1926)</f>
        <v/>
      </c>
      <c r="J1926" s="13"/>
      <c r="K1926" s="13"/>
    </row>
    <row r="1927" customFormat="false" ht="15" hidden="false" customHeight="false" outlineLevel="0" collapsed="false">
      <c r="A1927" s="12"/>
      <c r="B1927" s="13"/>
      <c r="C1927" s="13"/>
      <c r="D1927" s="13"/>
      <c r="E1927" s="7" t="str">
        <f aca="false">IF(D1927="","",IFERROR(INDEX(Materiali!$B:$B,MATCH(D1927,Materiali!$A:$A,0)),"codice?"))</f>
        <v/>
      </c>
      <c r="F1927" s="13"/>
      <c r="G1927" s="13"/>
      <c r="H1927" s="9" t="str">
        <f aca="false">IF(D1927="","",IFERROR(INDEX(Materiali!$C:$C,MATCH(D1927,Materiali!$A:$A,0)),0))</f>
        <v/>
      </c>
      <c r="I1927" s="9" t="str">
        <f aca="false">IF(OR(G1927="",H1927=""),"",IF(F1927="Uscita",-1,1)*G1927*H1927)</f>
        <v/>
      </c>
      <c r="J1927" s="13"/>
      <c r="K1927" s="13"/>
    </row>
    <row r="1928" customFormat="false" ht="15" hidden="false" customHeight="false" outlineLevel="0" collapsed="false">
      <c r="A1928" s="12"/>
      <c r="B1928" s="13"/>
      <c r="C1928" s="13"/>
      <c r="D1928" s="13"/>
      <c r="E1928" s="7" t="str">
        <f aca="false">IF(D1928="","",IFERROR(INDEX(Materiali!$B:$B,MATCH(D1928,Materiali!$A:$A,0)),"codice?"))</f>
        <v/>
      </c>
      <c r="F1928" s="13"/>
      <c r="G1928" s="13"/>
      <c r="H1928" s="9" t="str">
        <f aca="false">IF(D1928="","",IFERROR(INDEX(Materiali!$C:$C,MATCH(D1928,Materiali!$A:$A,0)),0))</f>
        <v/>
      </c>
      <c r="I1928" s="9" t="str">
        <f aca="false">IF(OR(G1928="",H1928=""),"",IF(F1928="Uscita",-1,1)*G1928*H1928)</f>
        <v/>
      </c>
      <c r="J1928" s="13"/>
      <c r="K1928" s="13"/>
    </row>
    <row r="1929" customFormat="false" ht="15" hidden="false" customHeight="false" outlineLevel="0" collapsed="false">
      <c r="A1929" s="12"/>
      <c r="B1929" s="13"/>
      <c r="C1929" s="13"/>
      <c r="D1929" s="13"/>
      <c r="E1929" s="7" t="str">
        <f aca="false">IF(D1929="","",IFERROR(INDEX(Materiali!$B:$B,MATCH(D1929,Materiali!$A:$A,0)),"codice?"))</f>
        <v/>
      </c>
      <c r="F1929" s="13"/>
      <c r="G1929" s="13"/>
      <c r="H1929" s="9" t="str">
        <f aca="false">IF(D1929="","",IFERROR(INDEX(Materiali!$C:$C,MATCH(D1929,Materiali!$A:$A,0)),0))</f>
        <v/>
      </c>
      <c r="I1929" s="9" t="str">
        <f aca="false">IF(OR(G1929="",H1929=""),"",IF(F1929="Uscita",-1,1)*G1929*H1929)</f>
        <v/>
      </c>
      <c r="J1929" s="13"/>
      <c r="K1929" s="13"/>
    </row>
    <row r="1930" customFormat="false" ht="15" hidden="false" customHeight="false" outlineLevel="0" collapsed="false">
      <c r="A1930" s="12"/>
      <c r="B1930" s="13"/>
      <c r="C1930" s="13"/>
      <c r="D1930" s="13"/>
      <c r="E1930" s="7" t="str">
        <f aca="false">IF(D1930="","",IFERROR(INDEX(Materiali!$B:$B,MATCH(D1930,Materiali!$A:$A,0)),"codice?"))</f>
        <v/>
      </c>
      <c r="F1930" s="13"/>
      <c r="G1930" s="13"/>
      <c r="H1930" s="9" t="str">
        <f aca="false">IF(D1930="","",IFERROR(INDEX(Materiali!$C:$C,MATCH(D1930,Materiali!$A:$A,0)),0))</f>
        <v/>
      </c>
      <c r="I1930" s="9" t="str">
        <f aca="false">IF(OR(G1930="",H1930=""),"",IF(F1930="Uscita",-1,1)*G1930*H1930)</f>
        <v/>
      </c>
      <c r="J1930" s="13"/>
      <c r="K1930" s="13"/>
    </row>
    <row r="1931" customFormat="false" ht="15" hidden="false" customHeight="false" outlineLevel="0" collapsed="false">
      <c r="A1931" s="12"/>
      <c r="B1931" s="13"/>
      <c r="C1931" s="13"/>
      <c r="D1931" s="13"/>
      <c r="E1931" s="7" t="str">
        <f aca="false">IF(D1931="","",IFERROR(INDEX(Materiali!$B:$B,MATCH(D1931,Materiali!$A:$A,0)),"codice?"))</f>
        <v/>
      </c>
      <c r="F1931" s="13"/>
      <c r="G1931" s="13"/>
      <c r="H1931" s="9" t="str">
        <f aca="false">IF(D1931="","",IFERROR(INDEX(Materiali!$C:$C,MATCH(D1931,Materiali!$A:$A,0)),0))</f>
        <v/>
      </c>
      <c r="I1931" s="9" t="str">
        <f aca="false">IF(OR(G1931="",H1931=""),"",IF(F1931="Uscita",-1,1)*G1931*H1931)</f>
        <v/>
      </c>
      <c r="J1931" s="13"/>
      <c r="K1931" s="13"/>
    </row>
    <row r="1932" customFormat="false" ht="15" hidden="false" customHeight="false" outlineLevel="0" collapsed="false">
      <c r="A1932" s="12"/>
      <c r="B1932" s="13"/>
      <c r="C1932" s="13"/>
      <c r="D1932" s="13"/>
      <c r="E1932" s="7" t="str">
        <f aca="false">IF(D1932="","",IFERROR(INDEX(Materiali!$B:$B,MATCH(D1932,Materiali!$A:$A,0)),"codice?"))</f>
        <v/>
      </c>
      <c r="F1932" s="13"/>
      <c r="G1932" s="13"/>
      <c r="H1932" s="9" t="str">
        <f aca="false">IF(D1932="","",IFERROR(INDEX(Materiali!$C:$C,MATCH(D1932,Materiali!$A:$A,0)),0))</f>
        <v/>
      </c>
      <c r="I1932" s="9" t="str">
        <f aca="false">IF(OR(G1932="",H1932=""),"",IF(F1932="Uscita",-1,1)*G1932*H1932)</f>
        <v/>
      </c>
      <c r="J1932" s="13"/>
      <c r="K1932" s="13"/>
    </row>
    <row r="1933" customFormat="false" ht="15" hidden="false" customHeight="false" outlineLevel="0" collapsed="false">
      <c r="A1933" s="12"/>
      <c r="B1933" s="13"/>
      <c r="C1933" s="13"/>
      <c r="D1933" s="13"/>
      <c r="E1933" s="7" t="str">
        <f aca="false">IF(D1933="","",IFERROR(INDEX(Materiali!$B:$B,MATCH(D1933,Materiali!$A:$A,0)),"codice?"))</f>
        <v/>
      </c>
      <c r="F1933" s="13"/>
      <c r="G1933" s="13"/>
      <c r="H1933" s="9" t="str">
        <f aca="false">IF(D1933="","",IFERROR(INDEX(Materiali!$C:$C,MATCH(D1933,Materiali!$A:$A,0)),0))</f>
        <v/>
      </c>
      <c r="I1933" s="9" t="str">
        <f aca="false">IF(OR(G1933="",H1933=""),"",IF(F1933="Uscita",-1,1)*G1933*H1933)</f>
        <v/>
      </c>
      <c r="J1933" s="13"/>
      <c r="K1933" s="13"/>
    </row>
    <row r="1934" customFormat="false" ht="15" hidden="false" customHeight="false" outlineLevel="0" collapsed="false">
      <c r="A1934" s="12"/>
      <c r="B1934" s="13"/>
      <c r="C1934" s="13"/>
      <c r="D1934" s="13"/>
      <c r="E1934" s="7" t="str">
        <f aca="false">IF(D1934="","",IFERROR(INDEX(Materiali!$B:$B,MATCH(D1934,Materiali!$A:$A,0)),"codice?"))</f>
        <v/>
      </c>
      <c r="F1934" s="13"/>
      <c r="G1934" s="13"/>
      <c r="H1934" s="9" t="str">
        <f aca="false">IF(D1934="","",IFERROR(INDEX(Materiali!$C:$C,MATCH(D1934,Materiali!$A:$A,0)),0))</f>
        <v/>
      </c>
      <c r="I1934" s="9" t="str">
        <f aca="false">IF(OR(G1934="",H1934=""),"",IF(F1934="Uscita",-1,1)*G1934*H1934)</f>
        <v/>
      </c>
      <c r="J1934" s="13"/>
      <c r="K1934" s="13"/>
    </row>
    <row r="1935" customFormat="false" ht="15" hidden="false" customHeight="false" outlineLevel="0" collapsed="false">
      <c r="A1935" s="12"/>
      <c r="B1935" s="13"/>
      <c r="C1935" s="13"/>
      <c r="D1935" s="13"/>
      <c r="E1935" s="7" t="str">
        <f aca="false">IF(D1935="","",IFERROR(INDEX(Materiali!$B:$B,MATCH(D1935,Materiali!$A:$A,0)),"codice?"))</f>
        <v/>
      </c>
      <c r="F1935" s="13"/>
      <c r="G1935" s="13"/>
      <c r="H1935" s="9" t="str">
        <f aca="false">IF(D1935="","",IFERROR(INDEX(Materiali!$C:$C,MATCH(D1935,Materiali!$A:$A,0)),0))</f>
        <v/>
      </c>
      <c r="I1935" s="9" t="str">
        <f aca="false">IF(OR(G1935="",H1935=""),"",IF(F1935="Uscita",-1,1)*G1935*H1935)</f>
        <v/>
      </c>
      <c r="J1935" s="13"/>
      <c r="K1935" s="13"/>
    </row>
    <row r="1936" customFormat="false" ht="15" hidden="false" customHeight="false" outlineLevel="0" collapsed="false">
      <c r="A1936" s="12"/>
      <c r="B1936" s="13"/>
      <c r="C1936" s="13"/>
      <c r="D1936" s="13"/>
      <c r="E1936" s="7" t="str">
        <f aca="false">IF(D1936="","",IFERROR(INDEX(Materiali!$B:$B,MATCH(D1936,Materiali!$A:$A,0)),"codice?"))</f>
        <v/>
      </c>
      <c r="F1936" s="13"/>
      <c r="G1936" s="13"/>
      <c r="H1936" s="9" t="str">
        <f aca="false">IF(D1936="","",IFERROR(INDEX(Materiali!$C:$C,MATCH(D1936,Materiali!$A:$A,0)),0))</f>
        <v/>
      </c>
      <c r="I1936" s="9" t="str">
        <f aca="false">IF(OR(G1936="",H1936=""),"",IF(F1936="Uscita",-1,1)*G1936*H1936)</f>
        <v/>
      </c>
      <c r="J1936" s="13"/>
      <c r="K1936" s="13"/>
    </row>
    <row r="1937" customFormat="false" ht="15" hidden="false" customHeight="false" outlineLevel="0" collapsed="false">
      <c r="A1937" s="12"/>
      <c r="B1937" s="13"/>
      <c r="C1937" s="13"/>
      <c r="D1937" s="13"/>
      <c r="E1937" s="7" t="str">
        <f aca="false">IF(D1937="","",IFERROR(INDEX(Materiali!$B:$B,MATCH(D1937,Materiali!$A:$A,0)),"codice?"))</f>
        <v/>
      </c>
      <c r="F1937" s="13"/>
      <c r="G1937" s="13"/>
      <c r="H1937" s="9" t="str">
        <f aca="false">IF(D1937="","",IFERROR(INDEX(Materiali!$C:$C,MATCH(D1937,Materiali!$A:$A,0)),0))</f>
        <v/>
      </c>
      <c r="I1937" s="9" t="str">
        <f aca="false">IF(OR(G1937="",H1937=""),"",IF(F1937="Uscita",-1,1)*G1937*H1937)</f>
        <v/>
      </c>
      <c r="J1937" s="13"/>
      <c r="K1937" s="13"/>
    </row>
    <row r="1938" customFormat="false" ht="15" hidden="false" customHeight="false" outlineLevel="0" collapsed="false">
      <c r="A1938" s="12"/>
      <c r="B1938" s="13"/>
      <c r="C1938" s="13"/>
      <c r="D1938" s="13"/>
      <c r="E1938" s="7" t="str">
        <f aca="false">IF(D1938="","",IFERROR(INDEX(Materiali!$B:$B,MATCH(D1938,Materiali!$A:$A,0)),"codice?"))</f>
        <v/>
      </c>
      <c r="F1938" s="13"/>
      <c r="G1938" s="13"/>
      <c r="H1938" s="9" t="str">
        <f aca="false">IF(D1938="","",IFERROR(INDEX(Materiali!$C:$C,MATCH(D1938,Materiali!$A:$A,0)),0))</f>
        <v/>
      </c>
      <c r="I1938" s="9" t="str">
        <f aca="false">IF(OR(G1938="",H1938=""),"",IF(F1938="Uscita",-1,1)*G1938*H1938)</f>
        <v/>
      </c>
      <c r="J1938" s="13"/>
      <c r="K1938" s="13"/>
    </row>
    <row r="1939" customFormat="false" ht="15" hidden="false" customHeight="false" outlineLevel="0" collapsed="false">
      <c r="A1939" s="12"/>
      <c r="B1939" s="13"/>
      <c r="C1939" s="13"/>
      <c r="D1939" s="13"/>
      <c r="E1939" s="7" t="str">
        <f aca="false">IF(D1939="","",IFERROR(INDEX(Materiali!$B:$B,MATCH(D1939,Materiali!$A:$A,0)),"codice?"))</f>
        <v/>
      </c>
      <c r="F1939" s="13"/>
      <c r="G1939" s="13"/>
      <c r="H1939" s="9" t="str">
        <f aca="false">IF(D1939="","",IFERROR(INDEX(Materiali!$C:$C,MATCH(D1939,Materiali!$A:$A,0)),0))</f>
        <v/>
      </c>
      <c r="I1939" s="9" t="str">
        <f aca="false">IF(OR(G1939="",H1939=""),"",IF(F1939="Uscita",-1,1)*G1939*H1939)</f>
        <v/>
      </c>
      <c r="J1939" s="13"/>
      <c r="K1939" s="13"/>
    </row>
    <row r="1940" customFormat="false" ht="15" hidden="false" customHeight="false" outlineLevel="0" collapsed="false">
      <c r="A1940" s="12"/>
      <c r="B1940" s="13"/>
      <c r="C1940" s="13"/>
      <c r="D1940" s="13"/>
      <c r="E1940" s="7" t="str">
        <f aca="false">IF(D1940="","",IFERROR(INDEX(Materiali!$B:$B,MATCH(D1940,Materiali!$A:$A,0)),"codice?"))</f>
        <v/>
      </c>
      <c r="F1940" s="13"/>
      <c r="G1940" s="13"/>
      <c r="H1940" s="9" t="str">
        <f aca="false">IF(D1940="","",IFERROR(INDEX(Materiali!$C:$C,MATCH(D1940,Materiali!$A:$A,0)),0))</f>
        <v/>
      </c>
      <c r="I1940" s="9" t="str">
        <f aca="false">IF(OR(G1940="",H1940=""),"",IF(F1940="Uscita",-1,1)*G1940*H1940)</f>
        <v/>
      </c>
      <c r="J1940" s="13"/>
      <c r="K1940" s="13"/>
    </row>
    <row r="1941" customFormat="false" ht="15" hidden="false" customHeight="false" outlineLevel="0" collapsed="false">
      <c r="A1941" s="12"/>
      <c r="B1941" s="13"/>
      <c r="C1941" s="13"/>
      <c r="D1941" s="13"/>
      <c r="E1941" s="7" t="str">
        <f aca="false">IF(D1941="","",IFERROR(INDEX(Materiali!$B:$B,MATCH(D1941,Materiali!$A:$A,0)),"codice?"))</f>
        <v/>
      </c>
      <c r="F1941" s="13"/>
      <c r="G1941" s="13"/>
      <c r="H1941" s="9" t="str">
        <f aca="false">IF(D1941="","",IFERROR(INDEX(Materiali!$C:$C,MATCH(D1941,Materiali!$A:$A,0)),0))</f>
        <v/>
      </c>
      <c r="I1941" s="9" t="str">
        <f aca="false">IF(OR(G1941="",H1941=""),"",IF(F1941="Uscita",-1,1)*G1941*H1941)</f>
        <v/>
      </c>
      <c r="J1941" s="13"/>
      <c r="K1941" s="13"/>
    </row>
    <row r="1942" customFormat="false" ht="15" hidden="false" customHeight="false" outlineLevel="0" collapsed="false">
      <c r="A1942" s="12"/>
      <c r="B1942" s="13"/>
      <c r="C1942" s="13"/>
      <c r="D1942" s="13"/>
      <c r="E1942" s="7" t="str">
        <f aca="false">IF(D1942="","",IFERROR(INDEX(Materiali!$B:$B,MATCH(D1942,Materiali!$A:$A,0)),"codice?"))</f>
        <v/>
      </c>
      <c r="F1942" s="13"/>
      <c r="G1942" s="13"/>
      <c r="H1942" s="9" t="str">
        <f aca="false">IF(D1942="","",IFERROR(INDEX(Materiali!$C:$C,MATCH(D1942,Materiali!$A:$A,0)),0))</f>
        <v/>
      </c>
      <c r="I1942" s="9" t="str">
        <f aca="false">IF(OR(G1942="",H1942=""),"",IF(F1942="Uscita",-1,1)*G1942*H1942)</f>
        <v/>
      </c>
      <c r="J1942" s="13"/>
      <c r="K1942" s="13"/>
    </row>
    <row r="1943" customFormat="false" ht="15" hidden="false" customHeight="false" outlineLevel="0" collapsed="false">
      <c r="A1943" s="12"/>
      <c r="B1943" s="13"/>
      <c r="C1943" s="13"/>
      <c r="D1943" s="13"/>
      <c r="E1943" s="7" t="str">
        <f aca="false">IF(D1943="","",IFERROR(INDEX(Materiali!$B:$B,MATCH(D1943,Materiali!$A:$A,0)),"codice?"))</f>
        <v/>
      </c>
      <c r="F1943" s="13"/>
      <c r="G1943" s="13"/>
      <c r="H1943" s="9" t="str">
        <f aca="false">IF(D1943="","",IFERROR(INDEX(Materiali!$C:$C,MATCH(D1943,Materiali!$A:$A,0)),0))</f>
        <v/>
      </c>
      <c r="I1943" s="9" t="str">
        <f aca="false">IF(OR(G1943="",H1943=""),"",IF(F1943="Uscita",-1,1)*G1943*H1943)</f>
        <v/>
      </c>
      <c r="J1943" s="13"/>
      <c r="K1943" s="13"/>
    </row>
    <row r="1944" customFormat="false" ht="15" hidden="false" customHeight="false" outlineLevel="0" collapsed="false">
      <c r="A1944" s="12"/>
      <c r="B1944" s="13"/>
      <c r="C1944" s="13"/>
      <c r="D1944" s="13"/>
      <c r="E1944" s="7" t="str">
        <f aca="false">IF(D1944="","",IFERROR(INDEX(Materiali!$B:$B,MATCH(D1944,Materiali!$A:$A,0)),"codice?"))</f>
        <v/>
      </c>
      <c r="F1944" s="13"/>
      <c r="G1944" s="13"/>
      <c r="H1944" s="9" t="str">
        <f aca="false">IF(D1944="","",IFERROR(INDEX(Materiali!$C:$C,MATCH(D1944,Materiali!$A:$A,0)),0))</f>
        <v/>
      </c>
      <c r="I1944" s="9" t="str">
        <f aca="false">IF(OR(G1944="",H1944=""),"",IF(F1944="Uscita",-1,1)*G1944*H1944)</f>
        <v/>
      </c>
      <c r="J1944" s="13"/>
      <c r="K1944" s="13"/>
    </row>
    <row r="1945" customFormat="false" ht="15" hidden="false" customHeight="false" outlineLevel="0" collapsed="false">
      <c r="A1945" s="12"/>
      <c r="B1945" s="13"/>
      <c r="C1945" s="13"/>
      <c r="D1945" s="13"/>
      <c r="E1945" s="7" t="str">
        <f aca="false">IF(D1945="","",IFERROR(INDEX(Materiali!$B:$B,MATCH(D1945,Materiali!$A:$A,0)),"codice?"))</f>
        <v/>
      </c>
      <c r="F1945" s="13"/>
      <c r="G1945" s="13"/>
      <c r="H1945" s="9" t="str">
        <f aca="false">IF(D1945="","",IFERROR(INDEX(Materiali!$C:$C,MATCH(D1945,Materiali!$A:$A,0)),0))</f>
        <v/>
      </c>
      <c r="I1945" s="9" t="str">
        <f aca="false">IF(OR(G1945="",H1945=""),"",IF(F1945="Uscita",-1,1)*G1945*H1945)</f>
        <v/>
      </c>
      <c r="J1945" s="13"/>
      <c r="K1945" s="13"/>
    </row>
    <row r="1946" customFormat="false" ht="15" hidden="false" customHeight="false" outlineLevel="0" collapsed="false">
      <c r="A1946" s="12"/>
      <c r="B1946" s="13"/>
      <c r="C1946" s="13"/>
      <c r="D1946" s="13"/>
      <c r="E1946" s="7" t="str">
        <f aca="false">IF(D1946="","",IFERROR(INDEX(Materiali!$B:$B,MATCH(D1946,Materiali!$A:$A,0)),"codice?"))</f>
        <v/>
      </c>
      <c r="F1946" s="13"/>
      <c r="G1946" s="13"/>
      <c r="H1946" s="9" t="str">
        <f aca="false">IF(D1946="","",IFERROR(INDEX(Materiali!$C:$C,MATCH(D1946,Materiali!$A:$A,0)),0))</f>
        <v/>
      </c>
      <c r="I1946" s="9" t="str">
        <f aca="false">IF(OR(G1946="",H1946=""),"",IF(F1946="Uscita",-1,1)*G1946*H1946)</f>
        <v/>
      </c>
      <c r="J1946" s="13"/>
      <c r="K1946" s="13"/>
    </row>
    <row r="1947" customFormat="false" ht="15" hidden="false" customHeight="false" outlineLevel="0" collapsed="false">
      <c r="A1947" s="12"/>
      <c r="B1947" s="13"/>
      <c r="C1947" s="13"/>
      <c r="D1947" s="13"/>
      <c r="E1947" s="7" t="str">
        <f aca="false">IF(D1947="","",IFERROR(INDEX(Materiali!$B:$B,MATCH(D1947,Materiali!$A:$A,0)),"codice?"))</f>
        <v/>
      </c>
      <c r="F1947" s="13"/>
      <c r="G1947" s="13"/>
      <c r="H1947" s="9" t="str">
        <f aca="false">IF(D1947="","",IFERROR(INDEX(Materiali!$C:$C,MATCH(D1947,Materiali!$A:$A,0)),0))</f>
        <v/>
      </c>
      <c r="I1947" s="9" t="str">
        <f aca="false">IF(OR(G1947="",H1947=""),"",IF(F1947="Uscita",-1,1)*G1947*H1947)</f>
        <v/>
      </c>
      <c r="J1947" s="13"/>
      <c r="K1947" s="13"/>
    </row>
    <row r="1948" customFormat="false" ht="15" hidden="false" customHeight="false" outlineLevel="0" collapsed="false">
      <c r="A1948" s="12"/>
      <c r="B1948" s="13"/>
      <c r="C1948" s="13"/>
      <c r="D1948" s="13"/>
      <c r="E1948" s="7" t="str">
        <f aca="false">IF(D1948="","",IFERROR(INDEX(Materiali!$B:$B,MATCH(D1948,Materiali!$A:$A,0)),"codice?"))</f>
        <v/>
      </c>
      <c r="F1948" s="13"/>
      <c r="G1948" s="13"/>
      <c r="H1948" s="9" t="str">
        <f aca="false">IF(D1948="","",IFERROR(INDEX(Materiali!$C:$C,MATCH(D1948,Materiali!$A:$A,0)),0))</f>
        <v/>
      </c>
      <c r="I1948" s="9" t="str">
        <f aca="false">IF(OR(G1948="",H1948=""),"",IF(F1948="Uscita",-1,1)*G1948*H1948)</f>
        <v/>
      </c>
      <c r="J1948" s="13"/>
      <c r="K1948" s="13"/>
    </row>
    <row r="1949" customFormat="false" ht="15" hidden="false" customHeight="false" outlineLevel="0" collapsed="false">
      <c r="A1949" s="12"/>
      <c r="B1949" s="13"/>
      <c r="C1949" s="13"/>
      <c r="D1949" s="13"/>
      <c r="E1949" s="7" t="str">
        <f aca="false">IF(D1949="","",IFERROR(INDEX(Materiali!$B:$B,MATCH(D1949,Materiali!$A:$A,0)),"codice?"))</f>
        <v/>
      </c>
      <c r="F1949" s="13"/>
      <c r="G1949" s="13"/>
      <c r="H1949" s="9" t="str">
        <f aca="false">IF(D1949="","",IFERROR(INDEX(Materiali!$C:$C,MATCH(D1949,Materiali!$A:$A,0)),0))</f>
        <v/>
      </c>
      <c r="I1949" s="9" t="str">
        <f aca="false">IF(OR(G1949="",H1949=""),"",IF(F1949="Uscita",-1,1)*G1949*H1949)</f>
        <v/>
      </c>
      <c r="J1949" s="13"/>
      <c r="K1949" s="13"/>
    </row>
    <row r="1950" customFormat="false" ht="15" hidden="false" customHeight="false" outlineLevel="0" collapsed="false">
      <c r="A1950" s="12"/>
      <c r="B1950" s="13"/>
      <c r="C1950" s="13"/>
      <c r="D1950" s="13"/>
      <c r="E1950" s="7" t="str">
        <f aca="false">IF(D1950="","",IFERROR(INDEX(Materiali!$B:$B,MATCH(D1950,Materiali!$A:$A,0)),"codice?"))</f>
        <v/>
      </c>
      <c r="F1950" s="13"/>
      <c r="G1950" s="13"/>
      <c r="H1950" s="9" t="str">
        <f aca="false">IF(D1950="","",IFERROR(INDEX(Materiali!$C:$C,MATCH(D1950,Materiali!$A:$A,0)),0))</f>
        <v/>
      </c>
      <c r="I1950" s="9" t="str">
        <f aca="false">IF(OR(G1950="",H1950=""),"",IF(F1950="Uscita",-1,1)*G1950*H1950)</f>
        <v/>
      </c>
      <c r="J1950" s="13"/>
      <c r="K1950" s="13"/>
    </row>
    <row r="1951" customFormat="false" ht="15" hidden="false" customHeight="false" outlineLevel="0" collapsed="false">
      <c r="A1951" s="12"/>
      <c r="B1951" s="13"/>
      <c r="C1951" s="13"/>
      <c r="D1951" s="13"/>
      <c r="E1951" s="7" t="str">
        <f aca="false">IF(D1951="","",IFERROR(INDEX(Materiali!$B:$B,MATCH(D1951,Materiali!$A:$A,0)),"codice?"))</f>
        <v/>
      </c>
      <c r="F1951" s="13"/>
      <c r="G1951" s="13"/>
      <c r="H1951" s="9" t="str">
        <f aca="false">IF(D1951="","",IFERROR(INDEX(Materiali!$C:$C,MATCH(D1951,Materiali!$A:$A,0)),0))</f>
        <v/>
      </c>
      <c r="I1951" s="9" t="str">
        <f aca="false">IF(OR(G1951="",H1951=""),"",IF(F1951="Uscita",-1,1)*G1951*H1951)</f>
        <v/>
      </c>
      <c r="J1951" s="13"/>
      <c r="K1951" s="13"/>
    </row>
    <row r="1952" customFormat="false" ht="15" hidden="false" customHeight="false" outlineLevel="0" collapsed="false">
      <c r="A1952" s="12"/>
      <c r="B1952" s="13"/>
      <c r="C1952" s="13"/>
      <c r="D1952" s="13"/>
      <c r="E1952" s="7" t="str">
        <f aca="false">IF(D1952="","",IFERROR(INDEX(Materiali!$B:$B,MATCH(D1952,Materiali!$A:$A,0)),"codice?"))</f>
        <v/>
      </c>
      <c r="F1952" s="13"/>
      <c r="G1952" s="13"/>
      <c r="H1952" s="9" t="str">
        <f aca="false">IF(D1952="","",IFERROR(INDEX(Materiali!$C:$C,MATCH(D1952,Materiali!$A:$A,0)),0))</f>
        <v/>
      </c>
      <c r="I1952" s="9" t="str">
        <f aca="false">IF(OR(G1952="",H1952=""),"",IF(F1952="Uscita",-1,1)*G1952*H1952)</f>
        <v/>
      </c>
      <c r="J1952" s="13"/>
      <c r="K1952" s="13"/>
    </row>
    <row r="1953" customFormat="false" ht="15" hidden="false" customHeight="false" outlineLevel="0" collapsed="false">
      <c r="A1953" s="12"/>
      <c r="B1953" s="13"/>
      <c r="C1953" s="13"/>
      <c r="D1953" s="13"/>
      <c r="E1953" s="7" t="str">
        <f aca="false">IF(D1953="","",IFERROR(INDEX(Materiali!$B:$B,MATCH(D1953,Materiali!$A:$A,0)),"codice?"))</f>
        <v/>
      </c>
      <c r="F1953" s="13"/>
      <c r="G1953" s="13"/>
      <c r="H1953" s="9" t="str">
        <f aca="false">IF(D1953="","",IFERROR(INDEX(Materiali!$C:$C,MATCH(D1953,Materiali!$A:$A,0)),0))</f>
        <v/>
      </c>
      <c r="I1953" s="9" t="str">
        <f aca="false">IF(OR(G1953="",H1953=""),"",IF(F1953="Uscita",-1,1)*G1953*H1953)</f>
        <v/>
      </c>
      <c r="J1953" s="13"/>
      <c r="K1953" s="13"/>
    </row>
    <row r="1954" customFormat="false" ht="15" hidden="false" customHeight="false" outlineLevel="0" collapsed="false">
      <c r="A1954" s="12"/>
      <c r="B1954" s="13"/>
      <c r="C1954" s="13"/>
      <c r="D1954" s="13"/>
      <c r="E1954" s="7" t="str">
        <f aca="false">IF(D1954="","",IFERROR(INDEX(Materiali!$B:$B,MATCH(D1954,Materiali!$A:$A,0)),"codice?"))</f>
        <v/>
      </c>
      <c r="F1954" s="13"/>
      <c r="G1954" s="13"/>
      <c r="H1954" s="9" t="str">
        <f aca="false">IF(D1954="","",IFERROR(INDEX(Materiali!$C:$C,MATCH(D1954,Materiali!$A:$A,0)),0))</f>
        <v/>
      </c>
      <c r="I1954" s="9" t="str">
        <f aca="false">IF(OR(G1954="",H1954=""),"",IF(F1954="Uscita",-1,1)*G1954*H1954)</f>
        <v/>
      </c>
      <c r="J1954" s="13"/>
      <c r="K1954" s="13"/>
    </row>
    <row r="1955" customFormat="false" ht="15" hidden="false" customHeight="false" outlineLevel="0" collapsed="false">
      <c r="A1955" s="12"/>
      <c r="B1955" s="13"/>
      <c r="C1955" s="13"/>
      <c r="D1955" s="13"/>
      <c r="E1955" s="7" t="str">
        <f aca="false">IF(D1955="","",IFERROR(INDEX(Materiali!$B:$B,MATCH(D1955,Materiali!$A:$A,0)),"codice?"))</f>
        <v/>
      </c>
      <c r="F1955" s="13"/>
      <c r="G1955" s="13"/>
      <c r="H1955" s="9" t="str">
        <f aca="false">IF(D1955="","",IFERROR(INDEX(Materiali!$C:$C,MATCH(D1955,Materiali!$A:$A,0)),0))</f>
        <v/>
      </c>
      <c r="I1955" s="9" t="str">
        <f aca="false">IF(OR(G1955="",H1955=""),"",IF(F1955="Uscita",-1,1)*G1955*H1955)</f>
        <v/>
      </c>
      <c r="J1955" s="13"/>
      <c r="K1955" s="13"/>
    </row>
    <row r="1956" customFormat="false" ht="15" hidden="false" customHeight="false" outlineLevel="0" collapsed="false">
      <c r="A1956" s="12"/>
      <c r="B1956" s="13"/>
      <c r="C1956" s="13"/>
      <c r="D1956" s="13"/>
      <c r="E1956" s="7" t="str">
        <f aca="false">IF(D1956="","",IFERROR(INDEX(Materiali!$B:$B,MATCH(D1956,Materiali!$A:$A,0)),"codice?"))</f>
        <v/>
      </c>
      <c r="F1956" s="13"/>
      <c r="G1956" s="13"/>
      <c r="H1956" s="9" t="str">
        <f aca="false">IF(D1956="","",IFERROR(INDEX(Materiali!$C:$C,MATCH(D1956,Materiali!$A:$A,0)),0))</f>
        <v/>
      </c>
      <c r="I1956" s="9" t="str">
        <f aca="false">IF(OR(G1956="",H1956=""),"",IF(F1956="Uscita",-1,1)*G1956*H1956)</f>
        <v/>
      </c>
      <c r="J1956" s="13"/>
      <c r="K1956" s="13"/>
    </row>
    <row r="1957" customFormat="false" ht="15" hidden="false" customHeight="false" outlineLevel="0" collapsed="false">
      <c r="A1957" s="12"/>
      <c r="B1957" s="13"/>
      <c r="C1957" s="13"/>
      <c r="D1957" s="13"/>
      <c r="E1957" s="7" t="str">
        <f aca="false">IF(D1957="","",IFERROR(INDEX(Materiali!$B:$B,MATCH(D1957,Materiali!$A:$A,0)),"codice?"))</f>
        <v/>
      </c>
      <c r="F1957" s="13"/>
      <c r="G1957" s="13"/>
      <c r="H1957" s="9" t="str">
        <f aca="false">IF(D1957="","",IFERROR(INDEX(Materiali!$C:$C,MATCH(D1957,Materiali!$A:$A,0)),0))</f>
        <v/>
      </c>
      <c r="I1957" s="9" t="str">
        <f aca="false">IF(OR(G1957="",H1957=""),"",IF(F1957="Uscita",-1,1)*G1957*H1957)</f>
        <v/>
      </c>
      <c r="J1957" s="13"/>
      <c r="K1957" s="13"/>
    </row>
    <row r="1958" customFormat="false" ht="15" hidden="false" customHeight="false" outlineLevel="0" collapsed="false">
      <c r="A1958" s="12"/>
      <c r="B1958" s="13"/>
      <c r="C1958" s="13"/>
      <c r="D1958" s="13"/>
      <c r="E1958" s="7" t="str">
        <f aca="false">IF(D1958="","",IFERROR(INDEX(Materiali!$B:$B,MATCH(D1958,Materiali!$A:$A,0)),"codice?"))</f>
        <v/>
      </c>
      <c r="F1958" s="13"/>
      <c r="G1958" s="13"/>
      <c r="H1958" s="9" t="str">
        <f aca="false">IF(D1958="","",IFERROR(INDEX(Materiali!$C:$C,MATCH(D1958,Materiali!$A:$A,0)),0))</f>
        <v/>
      </c>
      <c r="I1958" s="9" t="str">
        <f aca="false">IF(OR(G1958="",H1958=""),"",IF(F1958="Uscita",-1,1)*G1958*H1958)</f>
        <v/>
      </c>
      <c r="J1958" s="13"/>
      <c r="K1958" s="13"/>
    </row>
    <row r="1959" customFormat="false" ht="15" hidden="false" customHeight="false" outlineLevel="0" collapsed="false">
      <c r="A1959" s="12"/>
      <c r="B1959" s="13"/>
      <c r="C1959" s="13"/>
      <c r="D1959" s="13"/>
      <c r="E1959" s="7" t="str">
        <f aca="false">IF(D1959="","",IFERROR(INDEX(Materiali!$B:$B,MATCH(D1959,Materiali!$A:$A,0)),"codice?"))</f>
        <v/>
      </c>
      <c r="F1959" s="13"/>
      <c r="G1959" s="13"/>
      <c r="H1959" s="9" t="str">
        <f aca="false">IF(D1959="","",IFERROR(INDEX(Materiali!$C:$C,MATCH(D1959,Materiali!$A:$A,0)),0))</f>
        <v/>
      </c>
      <c r="I1959" s="9" t="str">
        <f aca="false">IF(OR(G1959="",H1959=""),"",IF(F1959="Uscita",-1,1)*G1959*H1959)</f>
        <v/>
      </c>
      <c r="J1959" s="13"/>
      <c r="K1959" s="13"/>
    </row>
    <row r="1960" customFormat="false" ht="15" hidden="false" customHeight="false" outlineLevel="0" collapsed="false">
      <c r="A1960" s="12"/>
      <c r="B1960" s="13"/>
      <c r="C1960" s="13"/>
      <c r="D1960" s="13"/>
      <c r="E1960" s="7" t="str">
        <f aca="false">IF(D1960="","",IFERROR(INDEX(Materiali!$B:$B,MATCH(D1960,Materiali!$A:$A,0)),"codice?"))</f>
        <v/>
      </c>
      <c r="F1960" s="13"/>
      <c r="G1960" s="13"/>
      <c r="H1960" s="9" t="str">
        <f aca="false">IF(D1960="","",IFERROR(INDEX(Materiali!$C:$C,MATCH(D1960,Materiali!$A:$A,0)),0))</f>
        <v/>
      </c>
      <c r="I1960" s="9" t="str">
        <f aca="false">IF(OR(G1960="",H1960=""),"",IF(F1960="Uscita",-1,1)*G1960*H1960)</f>
        <v/>
      </c>
      <c r="J1960" s="13"/>
      <c r="K1960" s="13"/>
    </row>
    <row r="1961" customFormat="false" ht="15" hidden="false" customHeight="false" outlineLevel="0" collapsed="false">
      <c r="A1961" s="12"/>
      <c r="B1961" s="13"/>
      <c r="C1961" s="13"/>
      <c r="D1961" s="13"/>
      <c r="E1961" s="7" t="str">
        <f aca="false">IF(D1961="","",IFERROR(INDEX(Materiali!$B:$B,MATCH(D1961,Materiali!$A:$A,0)),"codice?"))</f>
        <v/>
      </c>
      <c r="F1961" s="13"/>
      <c r="G1961" s="13"/>
      <c r="H1961" s="9" t="str">
        <f aca="false">IF(D1961="","",IFERROR(INDEX(Materiali!$C:$C,MATCH(D1961,Materiali!$A:$A,0)),0))</f>
        <v/>
      </c>
      <c r="I1961" s="9" t="str">
        <f aca="false">IF(OR(G1961="",H1961=""),"",IF(F1961="Uscita",-1,1)*G1961*H1961)</f>
        <v/>
      </c>
      <c r="J1961" s="13"/>
      <c r="K1961" s="13"/>
    </row>
    <row r="1962" customFormat="false" ht="15" hidden="false" customHeight="false" outlineLevel="0" collapsed="false">
      <c r="A1962" s="12"/>
      <c r="B1962" s="13"/>
      <c r="C1962" s="13"/>
      <c r="D1962" s="13"/>
      <c r="E1962" s="7" t="str">
        <f aca="false">IF(D1962="","",IFERROR(INDEX(Materiali!$B:$B,MATCH(D1962,Materiali!$A:$A,0)),"codice?"))</f>
        <v/>
      </c>
      <c r="F1962" s="13"/>
      <c r="G1962" s="13"/>
      <c r="H1962" s="9" t="str">
        <f aca="false">IF(D1962="","",IFERROR(INDEX(Materiali!$C:$C,MATCH(D1962,Materiali!$A:$A,0)),0))</f>
        <v/>
      </c>
      <c r="I1962" s="9" t="str">
        <f aca="false">IF(OR(G1962="",H1962=""),"",IF(F1962="Uscita",-1,1)*G1962*H1962)</f>
        <v/>
      </c>
      <c r="J1962" s="13"/>
      <c r="K1962" s="13"/>
    </row>
    <row r="1963" customFormat="false" ht="15" hidden="false" customHeight="false" outlineLevel="0" collapsed="false">
      <c r="A1963" s="12"/>
      <c r="B1963" s="13"/>
      <c r="C1963" s="13"/>
      <c r="D1963" s="13"/>
      <c r="E1963" s="7" t="str">
        <f aca="false">IF(D1963="","",IFERROR(INDEX(Materiali!$B:$B,MATCH(D1963,Materiali!$A:$A,0)),"codice?"))</f>
        <v/>
      </c>
      <c r="F1963" s="13"/>
      <c r="G1963" s="13"/>
      <c r="H1963" s="9" t="str">
        <f aca="false">IF(D1963="","",IFERROR(INDEX(Materiali!$C:$C,MATCH(D1963,Materiali!$A:$A,0)),0))</f>
        <v/>
      </c>
      <c r="I1963" s="9" t="str">
        <f aca="false">IF(OR(G1963="",H1963=""),"",IF(F1963="Uscita",-1,1)*G1963*H1963)</f>
        <v/>
      </c>
      <c r="J1963" s="13"/>
      <c r="K1963" s="13"/>
    </row>
    <row r="1964" customFormat="false" ht="15" hidden="false" customHeight="false" outlineLevel="0" collapsed="false">
      <c r="A1964" s="12"/>
      <c r="B1964" s="13"/>
      <c r="C1964" s="13"/>
      <c r="D1964" s="13"/>
      <c r="E1964" s="7" t="str">
        <f aca="false">IF(D1964="","",IFERROR(INDEX(Materiali!$B:$B,MATCH(D1964,Materiali!$A:$A,0)),"codice?"))</f>
        <v/>
      </c>
      <c r="F1964" s="13"/>
      <c r="G1964" s="13"/>
      <c r="H1964" s="9" t="str">
        <f aca="false">IF(D1964="","",IFERROR(INDEX(Materiali!$C:$C,MATCH(D1964,Materiali!$A:$A,0)),0))</f>
        <v/>
      </c>
      <c r="I1964" s="9" t="str">
        <f aca="false">IF(OR(G1964="",H1964=""),"",IF(F1964="Uscita",-1,1)*G1964*H1964)</f>
        <v/>
      </c>
      <c r="J1964" s="13"/>
      <c r="K1964" s="13"/>
    </row>
    <row r="1965" customFormat="false" ht="15" hidden="false" customHeight="false" outlineLevel="0" collapsed="false">
      <c r="A1965" s="12"/>
      <c r="B1965" s="13"/>
      <c r="C1965" s="13"/>
      <c r="D1965" s="13"/>
      <c r="E1965" s="7" t="str">
        <f aca="false">IF(D1965="","",IFERROR(INDEX(Materiali!$B:$B,MATCH(D1965,Materiali!$A:$A,0)),"codice?"))</f>
        <v/>
      </c>
      <c r="F1965" s="13"/>
      <c r="G1965" s="13"/>
      <c r="H1965" s="9" t="str">
        <f aca="false">IF(D1965="","",IFERROR(INDEX(Materiali!$C:$C,MATCH(D1965,Materiali!$A:$A,0)),0))</f>
        <v/>
      </c>
      <c r="I1965" s="9" t="str">
        <f aca="false">IF(OR(G1965="",H1965=""),"",IF(F1965="Uscita",-1,1)*G1965*H1965)</f>
        <v/>
      </c>
      <c r="J1965" s="13"/>
      <c r="K1965" s="13"/>
    </row>
    <row r="1966" customFormat="false" ht="15" hidden="false" customHeight="false" outlineLevel="0" collapsed="false">
      <c r="A1966" s="12"/>
      <c r="B1966" s="13"/>
      <c r="C1966" s="13"/>
      <c r="D1966" s="13"/>
      <c r="E1966" s="7" t="str">
        <f aca="false">IF(D1966="","",IFERROR(INDEX(Materiali!$B:$B,MATCH(D1966,Materiali!$A:$A,0)),"codice?"))</f>
        <v/>
      </c>
      <c r="F1966" s="13"/>
      <c r="G1966" s="13"/>
      <c r="H1966" s="9" t="str">
        <f aca="false">IF(D1966="","",IFERROR(INDEX(Materiali!$C:$C,MATCH(D1966,Materiali!$A:$A,0)),0))</f>
        <v/>
      </c>
      <c r="I1966" s="9" t="str">
        <f aca="false">IF(OR(G1966="",H1966=""),"",IF(F1966="Uscita",-1,1)*G1966*H1966)</f>
        <v/>
      </c>
      <c r="J1966" s="13"/>
      <c r="K1966" s="13"/>
    </row>
    <row r="1967" customFormat="false" ht="15" hidden="false" customHeight="false" outlineLevel="0" collapsed="false">
      <c r="A1967" s="12"/>
      <c r="B1967" s="13"/>
      <c r="C1967" s="13"/>
      <c r="D1967" s="13"/>
      <c r="E1967" s="7" t="str">
        <f aca="false">IF(D1967="","",IFERROR(INDEX(Materiali!$B:$B,MATCH(D1967,Materiali!$A:$A,0)),"codice?"))</f>
        <v/>
      </c>
      <c r="F1967" s="13"/>
      <c r="G1967" s="13"/>
      <c r="H1967" s="9" t="str">
        <f aca="false">IF(D1967="","",IFERROR(INDEX(Materiali!$C:$C,MATCH(D1967,Materiali!$A:$A,0)),0))</f>
        <v/>
      </c>
      <c r="I1967" s="9" t="str">
        <f aca="false">IF(OR(G1967="",H1967=""),"",IF(F1967="Uscita",-1,1)*G1967*H1967)</f>
        <v/>
      </c>
      <c r="J1967" s="13"/>
      <c r="K1967" s="13"/>
    </row>
    <row r="1968" customFormat="false" ht="15" hidden="false" customHeight="false" outlineLevel="0" collapsed="false">
      <c r="A1968" s="12"/>
      <c r="B1968" s="13"/>
      <c r="C1968" s="13"/>
      <c r="D1968" s="13"/>
      <c r="E1968" s="7" t="str">
        <f aca="false">IF(D1968="","",IFERROR(INDEX(Materiali!$B:$B,MATCH(D1968,Materiali!$A:$A,0)),"codice?"))</f>
        <v/>
      </c>
      <c r="F1968" s="13"/>
      <c r="G1968" s="13"/>
      <c r="H1968" s="9" t="str">
        <f aca="false">IF(D1968="","",IFERROR(INDEX(Materiali!$C:$C,MATCH(D1968,Materiali!$A:$A,0)),0))</f>
        <v/>
      </c>
      <c r="I1968" s="9" t="str">
        <f aca="false">IF(OR(G1968="",H1968=""),"",IF(F1968="Uscita",-1,1)*G1968*H1968)</f>
        <v/>
      </c>
      <c r="J1968" s="13"/>
      <c r="K1968" s="13"/>
    </row>
    <row r="1969" customFormat="false" ht="15" hidden="false" customHeight="false" outlineLevel="0" collapsed="false">
      <c r="A1969" s="12"/>
      <c r="B1969" s="13"/>
      <c r="C1969" s="13"/>
      <c r="D1969" s="13"/>
      <c r="E1969" s="7" t="str">
        <f aca="false">IF(D1969="","",IFERROR(INDEX(Materiali!$B:$B,MATCH(D1969,Materiali!$A:$A,0)),"codice?"))</f>
        <v/>
      </c>
      <c r="F1969" s="13"/>
      <c r="G1969" s="13"/>
      <c r="H1969" s="9" t="str">
        <f aca="false">IF(D1969="","",IFERROR(INDEX(Materiali!$C:$C,MATCH(D1969,Materiali!$A:$A,0)),0))</f>
        <v/>
      </c>
      <c r="I1969" s="9" t="str">
        <f aca="false">IF(OR(G1969="",H1969=""),"",IF(F1969="Uscita",-1,1)*G1969*H1969)</f>
        <v/>
      </c>
      <c r="J1969" s="13"/>
      <c r="K1969" s="13"/>
    </row>
    <row r="1970" customFormat="false" ht="15" hidden="false" customHeight="false" outlineLevel="0" collapsed="false">
      <c r="A1970" s="12"/>
      <c r="B1970" s="13"/>
      <c r="C1970" s="13"/>
      <c r="D1970" s="13"/>
      <c r="E1970" s="7" t="str">
        <f aca="false">IF(D1970="","",IFERROR(INDEX(Materiali!$B:$B,MATCH(D1970,Materiali!$A:$A,0)),"codice?"))</f>
        <v/>
      </c>
      <c r="F1970" s="13"/>
      <c r="G1970" s="13"/>
      <c r="H1970" s="9" t="str">
        <f aca="false">IF(D1970="","",IFERROR(INDEX(Materiali!$C:$C,MATCH(D1970,Materiali!$A:$A,0)),0))</f>
        <v/>
      </c>
      <c r="I1970" s="9" t="str">
        <f aca="false">IF(OR(G1970="",H1970=""),"",IF(F1970="Uscita",-1,1)*G1970*H1970)</f>
        <v/>
      </c>
      <c r="J1970" s="13"/>
      <c r="K1970" s="13"/>
    </row>
    <row r="1971" customFormat="false" ht="15" hidden="false" customHeight="false" outlineLevel="0" collapsed="false">
      <c r="A1971" s="12"/>
      <c r="B1971" s="13"/>
      <c r="C1971" s="13"/>
      <c r="D1971" s="13"/>
      <c r="E1971" s="7" t="str">
        <f aca="false">IF(D1971="","",IFERROR(INDEX(Materiali!$B:$B,MATCH(D1971,Materiali!$A:$A,0)),"codice?"))</f>
        <v/>
      </c>
      <c r="F1971" s="13"/>
      <c r="G1971" s="13"/>
      <c r="H1971" s="9" t="str">
        <f aca="false">IF(D1971="","",IFERROR(INDEX(Materiali!$C:$C,MATCH(D1971,Materiali!$A:$A,0)),0))</f>
        <v/>
      </c>
      <c r="I1971" s="9" t="str">
        <f aca="false">IF(OR(G1971="",H1971=""),"",IF(F1971="Uscita",-1,1)*G1971*H1971)</f>
        <v/>
      </c>
      <c r="J1971" s="13"/>
      <c r="K1971" s="13"/>
    </row>
    <row r="1972" customFormat="false" ht="15" hidden="false" customHeight="false" outlineLevel="0" collapsed="false">
      <c r="A1972" s="12"/>
      <c r="B1972" s="13"/>
      <c r="C1972" s="13"/>
      <c r="D1972" s="13"/>
      <c r="E1972" s="7" t="str">
        <f aca="false">IF(D1972="","",IFERROR(INDEX(Materiali!$B:$B,MATCH(D1972,Materiali!$A:$A,0)),"codice?"))</f>
        <v/>
      </c>
      <c r="F1972" s="13"/>
      <c r="G1972" s="13"/>
      <c r="H1972" s="9" t="str">
        <f aca="false">IF(D1972="","",IFERROR(INDEX(Materiali!$C:$C,MATCH(D1972,Materiali!$A:$A,0)),0))</f>
        <v/>
      </c>
      <c r="I1972" s="9" t="str">
        <f aca="false">IF(OR(G1972="",H1972=""),"",IF(F1972="Uscita",-1,1)*G1972*H1972)</f>
        <v/>
      </c>
      <c r="J1972" s="13"/>
      <c r="K1972" s="13"/>
    </row>
    <row r="1973" customFormat="false" ht="15" hidden="false" customHeight="false" outlineLevel="0" collapsed="false">
      <c r="A1973" s="12"/>
      <c r="B1973" s="13"/>
      <c r="C1973" s="13"/>
      <c r="D1973" s="13"/>
      <c r="E1973" s="7" t="str">
        <f aca="false">IF(D1973="","",IFERROR(INDEX(Materiali!$B:$B,MATCH(D1973,Materiali!$A:$A,0)),"codice?"))</f>
        <v/>
      </c>
      <c r="F1973" s="13"/>
      <c r="G1973" s="13"/>
      <c r="H1973" s="9" t="str">
        <f aca="false">IF(D1973="","",IFERROR(INDEX(Materiali!$C:$C,MATCH(D1973,Materiali!$A:$A,0)),0))</f>
        <v/>
      </c>
      <c r="I1973" s="9" t="str">
        <f aca="false">IF(OR(G1973="",H1973=""),"",IF(F1973="Uscita",-1,1)*G1973*H1973)</f>
        <v/>
      </c>
      <c r="J1973" s="13"/>
      <c r="K1973" s="13"/>
    </row>
    <row r="1974" customFormat="false" ht="15" hidden="false" customHeight="false" outlineLevel="0" collapsed="false">
      <c r="A1974" s="12"/>
      <c r="B1974" s="13"/>
      <c r="C1974" s="13"/>
      <c r="D1974" s="13"/>
      <c r="E1974" s="7" t="str">
        <f aca="false">IF(D1974="","",IFERROR(INDEX(Materiali!$B:$B,MATCH(D1974,Materiali!$A:$A,0)),"codice?"))</f>
        <v/>
      </c>
      <c r="F1974" s="13"/>
      <c r="G1974" s="13"/>
      <c r="H1974" s="9" t="str">
        <f aca="false">IF(D1974="","",IFERROR(INDEX(Materiali!$C:$C,MATCH(D1974,Materiali!$A:$A,0)),0))</f>
        <v/>
      </c>
      <c r="I1974" s="9" t="str">
        <f aca="false">IF(OR(G1974="",H1974=""),"",IF(F1974="Uscita",-1,1)*G1974*H1974)</f>
        <v/>
      </c>
      <c r="J1974" s="13"/>
      <c r="K1974" s="13"/>
    </row>
    <row r="1975" customFormat="false" ht="15" hidden="false" customHeight="false" outlineLevel="0" collapsed="false">
      <c r="A1975" s="12"/>
      <c r="B1975" s="13"/>
      <c r="C1975" s="13"/>
      <c r="D1975" s="13"/>
      <c r="E1975" s="7" t="str">
        <f aca="false">IF(D1975="","",IFERROR(INDEX(Materiali!$B:$B,MATCH(D1975,Materiali!$A:$A,0)),"codice?"))</f>
        <v/>
      </c>
      <c r="F1975" s="13"/>
      <c r="G1975" s="13"/>
      <c r="H1975" s="9" t="str">
        <f aca="false">IF(D1975="","",IFERROR(INDEX(Materiali!$C:$C,MATCH(D1975,Materiali!$A:$A,0)),0))</f>
        <v/>
      </c>
      <c r="I1975" s="9" t="str">
        <f aca="false">IF(OR(G1975="",H1975=""),"",IF(F1975="Uscita",-1,1)*G1975*H1975)</f>
        <v/>
      </c>
      <c r="J1975" s="13"/>
      <c r="K1975" s="13"/>
    </row>
    <row r="1976" customFormat="false" ht="15" hidden="false" customHeight="false" outlineLevel="0" collapsed="false">
      <c r="A1976" s="12"/>
      <c r="B1976" s="13"/>
      <c r="C1976" s="13"/>
      <c r="D1976" s="13"/>
      <c r="E1976" s="7" t="str">
        <f aca="false">IF(D1976="","",IFERROR(INDEX(Materiali!$B:$B,MATCH(D1976,Materiali!$A:$A,0)),"codice?"))</f>
        <v/>
      </c>
      <c r="F1976" s="13"/>
      <c r="G1976" s="13"/>
      <c r="H1976" s="9" t="str">
        <f aca="false">IF(D1976="","",IFERROR(INDEX(Materiali!$C:$C,MATCH(D1976,Materiali!$A:$A,0)),0))</f>
        <v/>
      </c>
      <c r="I1976" s="9" t="str">
        <f aca="false">IF(OR(G1976="",H1976=""),"",IF(F1976="Uscita",-1,1)*G1976*H1976)</f>
        <v/>
      </c>
      <c r="J1976" s="13"/>
      <c r="K1976" s="13"/>
    </row>
    <row r="1977" customFormat="false" ht="15" hidden="false" customHeight="false" outlineLevel="0" collapsed="false">
      <c r="A1977" s="12"/>
      <c r="B1977" s="13"/>
      <c r="C1977" s="13"/>
      <c r="D1977" s="13"/>
      <c r="E1977" s="7" t="str">
        <f aca="false">IF(D1977="","",IFERROR(INDEX(Materiali!$B:$B,MATCH(D1977,Materiali!$A:$A,0)),"codice?"))</f>
        <v/>
      </c>
      <c r="F1977" s="13"/>
      <c r="G1977" s="13"/>
      <c r="H1977" s="9" t="str">
        <f aca="false">IF(D1977="","",IFERROR(INDEX(Materiali!$C:$C,MATCH(D1977,Materiali!$A:$A,0)),0))</f>
        <v/>
      </c>
      <c r="I1977" s="9" t="str">
        <f aca="false">IF(OR(G1977="",H1977=""),"",IF(F1977="Uscita",-1,1)*G1977*H1977)</f>
        <v/>
      </c>
      <c r="J1977" s="13"/>
      <c r="K1977" s="13"/>
    </row>
    <row r="1978" customFormat="false" ht="15" hidden="false" customHeight="false" outlineLevel="0" collapsed="false">
      <c r="A1978" s="12"/>
      <c r="B1978" s="13"/>
      <c r="C1978" s="13"/>
      <c r="D1978" s="13"/>
      <c r="E1978" s="7" t="str">
        <f aca="false">IF(D1978="","",IFERROR(INDEX(Materiali!$B:$B,MATCH(D1978,Materiali!$A:$A,0)),"codice?"))</f>
        <v/>
      </c>
      <c r="F1978" s="13"/>
      <c r="G1978" s="13"/>
      <c r="H1978" s="9" t="str">
        <f aca="false">IF(D1978="","",IFERROR(INDEX(Materiali!$C:$C,MATCH(D1978,Materiali!$A:$A,0)),0))</f>
        <v/>
      </c>
      <c r="I1978" s="9" t="str">
        <f aca="false">IF(OR(G1978="",H1978=""),"",IF(F1978="Uscita",-1,1)*G1978*H1978)</f>
        <v/>
      </c>
      <c r="J1978" s="13"/>
      <c r="K1978" s="13"/>
    </row>
    <row r="1979" customFormat="false" ht="15" hidden="false" customHeight="false" outlineLevel="0" collapsed="false">
      <c r="A1979" s="12"/>
      <c r="B1979" s="13"/>
      <c r="C1979" s="13"/>
      <c r="D1979" s="13"/>
      <c r="E1979" s="7" t="str">
        <f aca="false">IF(D1979="","",IFERROR(INDEX(Materiali!$B:$B,MATCH(D1979,Materiali!$A:$A,0)),"codice?"))</f>
        <v/>
      </c>
      <c r="F1979" s="13"/>
      <c r="G1979" s="13"/>
      <c r="H1979" s="9" t="str">
        <f aca="false">IF(D1979="","",IFERROR(INDEX(Materiali!$C:$C,MATCH(D1979,Materiali!$A:$A,0)),0))</f>
        <v/>
      </c>
      <c r="I1979" s="9" t="str">
        <f aca="false">IF(OR(G1979="",H1979=""),"",IF(F1979="Uscita",-1,1)*G1979*H1979)</f>
        <v/>
      </c>
      <c r="J1979" s="13"/>
      <c r="K1979" s="13"/>
    </row>
    <row r="1980" customFormat="false" ht="15" hidden="false" customHeight="false" outlineLevel="0" collapsed="false">
      <c r="A1980" s="12"/>
      <c r="B1980" s="13"/>
      <c r="C1980" s="13"/>
      <c r="D1980" s="13"/>
      <c r="E1980" s="7" t="str">
        <f aca="false">IF(D1980="","",IFERROR(INDEX(Materiali!$B:$B,MATCH(D1980,Materiali!$A:$A,0)),"codice?"))</f>
        <v/>
      </c>
      <c r="F1980" s="13"/>
      <c r="G1980" s="13"/>
      <c r="H1980" s="9" t="str">
        <f aca="false">IF(D1980="","",IFERROR(INDEX(Materiali!$C:$C,MATCH(D1980,Materiali!$A:$A,0)),0))</f>
        <v/>
      </c>
      <c r="I1980" s="9" t="str">
        <f aca="false">IF(OR(G1980="",H1980=""),"",IF(F1980="Uscita",-1,1)*G1980*H1980)</f>
        <v/>
      </c>
      <c r="J1980" s="13"/>
      <c r="K1980" s="13"/>
    </row>
    <row r="1981" customFormat="false" ht="15" hidden="false" customHeight="false" outlineLevel="0" collapsed="false">
      <c r="A1981" s="12"/>
      <c r="B1981" s="13"/>
      <c r="C1981" s="13"/>
      <c r="D1981" s="13"/>
      <c r="E1981" s="7" t="str">
        <f aca="false">IF(D1981="","",IFERROR(INDEX(Materiali!$B:$B,MATCH(D1981,Materiali!$A:$A,0)),"codice?"))</f>
        <v/>
      </c>
      <c r="F1981" s="13"/>
      <c r="G1981" s="13"/>
      <c r="H1981" s="9" t="str">
        <f aca="false">IF(D1981="","",IFERROR(INDEX(Materiali!$C:$C,MATCH(D1981,Materiali!$A:$A,0)),0))</f>
        <v/>
      </c>
      <c r="I1981" s="9" t="str">
        <f aca="false">IF(OR(G1981="",H1981=""),"",IF(F1981="Uscita",-1,1)*G1981*H1981)</f>
        <v/>
      </c>
      <c r="J1981" s="13"/>
      <c r="K1981" s="13"/>
    </row>
    <row r="1982" customFormat="false" ht="15" hidden="false" customHeight="false" outlineLevel="0" collapsed="false">
      <c r="A1982" s="12"/>
      <c r="B1982" s="13"/>
      <c r="C1982" s="13"/>
      <c r="D1982" s="13"/>
      <c r="E1982" s="7" t="str">
        <f aca="false">IF(D1982="","",IFERROR(INDEX(Materiali!$B:$B,MATCH(D1982,Materiali!$A:$A,0)),"codice?"))</f>
        <v/>
      </c>
      <c r="F1982" s="13"/>
      <c r="G1982" s="13"/>
      <c r="H1982" s="9" t="str">
        <f aca="false">IF(D1982="","",IFERROR(INDEX(Materiali!$C:$C,MATCH(D1982,Materiali!$A:$A,0)),0))</f>
        <v/>
      </c>
      <c r="I1982" s="9" t="str">
        <f aca="false">IF(OR(G1982="",H1982=""),"",IF(F1982="Uscita",-1,1)*G1982*H1982)</f>
        <v/>
      </c>
      <c r="J1982" s="13"/>
      <c r="K1982" s="13"/>
    </row>
    <row r="1983" customFormat="false" ht="15" hidden="false" customHeight="false" outlineLevel="0" collapsed="false">
      <c r="A1983" s="12"/>
      <c r="B1983" s="13"/>
      <c r="C1983" s="13"/>
      <c r="D1983" s="13"/>
      <c r="E1983" s="7" t="str">
        <f aca="false">IF(D1983="","",IFERROR(INDEX(Materiali!$B:$B,MATCH(D1983,Materiali!$A:$A,0)),"codice?"))</f>
        <v/>
      </c>
      <c r="F1983" s="13"/>
      <c r="G1983" s="13"/>
      <c r="H1983" s="9" t="str">
        <f aca="false">IF(D1983="","",IFERROR(INDEX(Materiali!$C:$C,MATCH(D1983,Materiali!$A:$A,0)),0))</f>
        <v/>
      </c>
      <c r="I1983" s="9" t="str">
        <f aca="false">IF(OR(G1983="",H1983=""),"",IF(F1983="Uscita",-1,1)*G1983*H1983)</f>
        <v/>
      </c>
      <c r="J1983" s="13"/>
      <c r="K1983" s="13"/>
    </row>
    <row r="1984" customFormat="false" ht="15" hidden="false" customHeight="false" outlineLevel="0" collapsed="false">
      <c r="A1984" s="12"/>
      <c r="B1984" s="13"/>
      <c r="C1984" s="13"/>
      <c r="D1984" s="13"/>
      <c r="E1984" s="7" t="str">
        <f aca="false">IF(D1984="","",IFERROR(INDEX(Materiali!$B:$B,MATCH(D1984,Materiali!$A:$A,0)),"codice?"))</f>
        <v/>
      </c>
      <c r="F1984" s="13"/>
      <c r="G1984" s="13"/>
      <c r="H1984" s="9" t="str">
        <f aca="false">IF(D1984="","",IFERROR(INDEX(Materiali!$C:$C,MATCH(D1984,Materiali!$A:$A,0)),0))</f>
        <v/>
      </c>
      <c r="I1984" s="9" t="str">
        <f aca="false">IF(OR(G1984="",H1984=""),"",IF(F1984="Uscita",-1,1)*G1984*H1984)</f>
        <v/>
      </c>
      <c r="J1984" s="13"/>
      <c r="K1984" s="13"/>
    </row>
    <row r="1985" customFormat="false" ht="15" hidden="false" customHeight="false" outlineLevel="0" collapsed="false">
      <c r="A1985" s="12"/>
      <c r="B1985" s="13"/>
      <c r="C1985" s="13"/>
      <c r="D1985" s="13"/>
      <c r="E1985" s="7" t="str">
        <f aca="false">IF(D1985="","",IFERROR(INDEX(Materiali!$B:$B,MATCH(D1985,Materiali!$A:$A,0)),"codice?"))</f>
        <v/>
      </c>
      <c r="F1985" s="13"/>
      <c r="G1985" s="13"/>
      <c r="H1985" s="9" t="str">
        <f aca="false">IF(D1985="","",IFERROR(INDEX(Materiali!$C:$C,MATCH(D1985,Materiali!$A:$A,0)),0))</f>
        <v/>
      </c>
      <c r="I1985" s="9" t="str">
        <f aca="false">IF(OR(G1985="",H1985=""),"",IF(F1985="Uscita",-1,1)*G1985*H1985)</f>
        <v/>
      </c>
      <c r="J1985" s="13"/>
      <c r="K1985" s="13"/>
    </row>
    <row r="1986" customFormat="false" ht="15" hidden="false" customHeight="false" outlineLevel="0" collapsed="false">
      <c r="A1986" s="12"/>
      <c r="B1986" s="13"/>
      <c r="C1986" s="13"/>
      <c r="D1986" s="13"/>
      <c r="E1986" s="7" t="str">
        <f aca="false">IF(D1986="","",IFERROR(INDEX(Materiali!$B:$B,MATCH(D1986,Materiali!$A:$A,0)),"codice?"))</f>
        <v/>
      </c>
      <c r="F1986" s="13"/>
      <c r="G1986" s="13"/>
      <c r="H1986" s="9" t="str">
        <f aca="false">IF(D1986="","",IFERROR(INDEX(Materiali!$C:$C,MATCH(D1986,Materiali!$A:$A,0)),0))</f>
        <v/>
      </c>
      <c r="I1986" s="9" t="str">
        <f aca="false">IF(OR(G1986="",H1986=""),"",IF(F1986="Uscita",-1,1)*G1986*H1986)</f>
        <v/>
      </c>
      <c r="J1986" s="13"/>
      <c r="K1986" s="13"/>
    </row>
    <row r="1987" customFormat="false" ht="15" hidden="false" customHeight="false" outlineLevel="0" collapsed="false">
      <c r="A1987" s="12"/>
      <c r="B1987" s="13"/>
      <c r="C1987" s="13"/>
      <c r="D1987" s="13"/>
      <c r="E1987" s="7" t="str">
        <f aca="false">IF(D1987="","",IFERROR(INDEX(Materiali!$B:$B,MATCH(D1987,Materiali!$A:$A,0)),"codice?"))</f>
        <v/>
      </c>
      <c r="F1987" s="13"/>
      <c r="G1987" s="13"/>
      <c r="H1987" s="9" t="str">
        <f aca="false">IF(D1987="","",IFERROR(INDEX(Materiali!$C:$C,MATCH(D1987,Materiali!$A:$A,0)),0))</f>
        <v/>
      </c>
      <c r="I1987" s="9" t="str">
        <f aca="false">IF(OR(G1987="",H1987=""),"",IF(F1987="Uscita",-1,1)*G1987*H1987)</f>
        <v/>
      </c>
      <c r="J1987" s="13"/>
      <c r="K1987" s="13"/>
    </row>
    <row r="1988" customFormat="false" ht="15" hidden="false" customHeight="false" outlineLevel="0" collapsed="false">
      <c r="A1988" s="12"/>
      <c r="B1988" s="13"/>
      <c r="C1988" s="13"/>
      <c r="D1988" s="13"/>
      <c r="E1988" s="7" t="str">
        <f aca="false">IF(D1988="","",IFERROR(INDEX(Materiali!$B:$B,MATCH(D1988,Materiali!$A:$A,0)),"codice?"))</f>
        <v/>
      </c>
      <c r="F1988" s="13"/>
      <c r="G1988" s="13"/>
      <c r="H1988" s="9" t="str">
        <f aca="false">IF(D1988="","",IFERROR(INDEX(Materiali!$C:$C,MATCH(D1988,Materiali!$A:$A,0)),0))</f>
        <v/>
      </c>
      <c r="I1988" s="9" t="str">
        <f aca="false">IF(OR(G1988="",H1988=""),"",IF(F1988="Uscita",-1,1)*G1988*H1988)</f>
        <v/>
      </c>
      <c r="J1988" s="13"/>
      <c r="K1988" s="13"/>
    </row>
    <row r="1989" customFormat="false" ht="15" hidden="false" customHeight="false" outlineLevel="0" collapsed="false">
      <c r="A1989" s="12"/>
      <c r="B1989" s="13"/>
      <c r="C1989" s="13"/>
      <c r="D1989" s="13"/>
      <c r="E1989" s="7" t="str">
        <f aca="false">IF(D1989="","",IFERROR(INDEX(Materiali!$B:$B,MATCH(D1989,Materiali!$A:$A,0)),"codice?"))</f>
        <v/>
      </c>
      <c r="F1989" s="13"/>
      <c r="G1989" s="13"/>
      <c r="H1989" s="9" t="str">
        <f aca="false">IF(D1989="","",IFERROR(INDEX(Materiali!$C:$C,MATCH(D1989,Materiali!$A:$A,0)),0))</f>
        <v/>
      </c>
      <c r="I1989" s="9" t="str">
        <f aca="false">IF(OR(G1989="",H1989=""),"",IF(F1989="Uscita",-1,1)*G1989*H1989)</f>
        <v/>
      </c>
      <c r="J1989" s="13"/>
      <c r="K1989" s="13"/>
    </row>
    <row r="1990" customFormat="false" ht="15" hidden="false" customHeight="false" outlineLevel="0" collapsed="false">
      <c r="A1990" s="12"/>
      <c r="B1990" s="13"/>
      <c r="C1990" s="13"/>
      <c r="D1990" s="13"/>
      <c r="E1990" s="7" t="str">
        <f aca="false">IF(D1990="","",IFERROR(INDEX(Materiali!$B:$B,MATCH(D1990,Materiali!$A:$A,0)),"codice?"))</f>
        <v/>
      </c>
      <c r="F1990" s="13"/>
      <c r="G1990" s="13"/>
      <c r="H1990" s="9" t="str">
        <f aca="false">IF(D1990="","",IFERROR(INDEX(Materiali!$C:$C,MATCH(D1990,Materiali!$A:$A,0)),0))</f>
        <v/>
      </c>
      <c r="I1990" s="9" t="str">
        <f aca="false">IF(OR(G1990="",H1990=""),"",IF(F1990="Uscita",-1,1)*G1990*H1990)</f>
        <v/>
      </c>
      <c r="J1990" s="13"/>
      <c r="K1990" s="13"/>
    </row>
    <row r="1991" customFormat="false" ht="15" hidden="false" customHeight="false" outlineLevel="0" collapsed="false">
      <c r="A1991" s="12"/>
      <c r="B1991" s="13"/>
      <c r="C1991" s="13"/>
      <c r="D1991" s="13"/>
      <c r="E1991" s="7" t="str">
        <f aca="false">IF(D1991="","",IFERROR(INDEX(Materiali!$B:$B,MATCH(D1991,Materiali!$A:$A,0)),"codice?"))</f>
        <v/>
      </c>
      <c r="F1991" s="13"/>
      <c r="G1991" s="13"/>
      <c r="H1991" s="9" t="str">
        <f aca="false">IF(D1991="","",IFERROR(INDEX(Materiali!$C:$C,MATCH(D1991,Materiali!$A:$A,0)),0))</f>
        <v/>
      </c>
      <c r="I1991" s="9" t="str">
        <f aca="false">IF(OR(G1991="",H1991=""),"",IF(F1991="Uscita",-1,1)*G1991*H1991)</f>
        <v/>
      </c>
      <c r="J1991" s="13"/>
      <c r="K1991" s="13"/>
    </row>
    <row r="1992" customFormat="false" ht="15" hidden="false" customHeight="false" outlineLevel="0" collapsed="false">
      <c r="A1992" s="12"/>
      <c r="B1992" s="13"/>
      <c r="C1992" s="13"/>
      <c r="D1992" s="13"/>
      <c r="E1992" s="7" t="str">
        <f aca="false">IF(D1992="","",IFERROR(INDEX(Materiali!$B:$B,MATCH(D1992,Materiali!$A:$A,0)),"codice?"))</f>
        <v/>
      </c>
      <c r="F1992" s="13"/>
      <c r="G1992" s="13"/>
      <c r="H1992" s="9" t="str">
        <f aca="false">IF(D1992="","",IFERROR(INDEX(Materiali!$C:$C,MATCH(D1992,Materiali!$A:$A,0)),0))</f>
        <v/>
      </c>
      <c r="I1992" s="9" t="str">
        <f aca="false">IF(OR(G1992="",H1992=""),"",IF(F1992="Uscita",-1,1)*G1992*H1992)</f>
        <v/>
      </c>
      <c r="J1992" s="13"/>
      <c r="K1992" s="13"/>
    </row>
    <row r="1993" customFormat="false" ht="15" hidden="false" customHeight="false" outlineLevel="0" collapsed="false">
      <c r="A1993" s="12"/>
      <c r="B1993" s="13"/>
      <c r="C1993" s="13"/>
      <c r="D1993" s="13"/>
      <c r="E1993" s="7" t="str">
        <f aca="false">IF(D1993="","",IFERROR(INDEX(Materiali!$B:$B,MATCH(D1993,Materiali!$A:$A,0)),"codice?"))</f>
        <v/>
      </c>
      <c r="F1993" s="13"/>
      <c r="G1993" s="13"/>
      <c r="H1993" s="9" t="str">
        <f aca="false">IF(D1993="","",IFERROR(INDEX(Materiali!$C:$C,MATCH(D1993,Materiali!$A:$A,0)),0))</f>
        <v/>
      </c>
      <c r="I1993" s="9" t="str">
        <f aca="false">IF(OR(G1993="",H1993=""),"",IF(F1993="Uscita",-1,1)*G1993*H1993)</f>
        <v/>
      </c>
      <c r="J1993" s="13"/>
      <c r="K1993" s="13"/>
    </row>
    <row r="1994" customFormat="false" ht="15" hidden="false" customHeight="false" outlineLevel="0" collapsed="false">
      <c r="A1994" s="12"/>
      <c r="B1994" s="13"/>
      <c r="C1994" s="13"/>
      <c r="D1994" s="13"/>
      <c r="E1994" s="7" t="str">
        <f aca="false">IF(D1994="","",IFERROR(INDEX(Materiali!$B:$B,MATCH(D1994,Materiali!$A:$A,0)),"codice?"))</f>
        <v/>
      </c>
      <c r="F1994" s="13"/>
      <c r="G1994" s="13"/>
      <c r="H1994" s="9" t="str">
        <f aca="false">IF(D1994="","",IFERROR(INDEX(Materiali!$C:$C,MATCH(D1994,Materiali!$A:$A,0)),0))</f>
        <v/>
      </c>
      <c r="I1994" s="9" t="str">
        <f aca="false">IF(OR(G1994="",H1994=""),"",IF(F1994="Uscita",-1,1)*G1994*H1994)</f>
        <v/>
      </c>
      <c r="J1994" s="13"/>
      <c r="K1994" s="13"/>
    </row>
    <row r="1995" customFormat="false" ht="15" hidden="false" customHeight="false" outlineLevel="0" collapsed="false">
      <c r="A1995" s="12"/>
      <c r="B1995" s="13"/>
      <c r="C1995" s="13"/>
      <c r="D1995" s="13"/>
      <c r="E1995" s="7" t="str">
        <f aca="false">IF(D1995="","",IFERROR(INDEX(Materiali!$B:$B,MATCH(D1995,Materiali!$A:$A,0)),"codice?"))</f>
        <v/>
      </c>
      <c r="F1995" s="13"/>
      <c r="G1995" s="13"/>
      <c r="H1995" s="9" t="str">
        <f aca="false">IF(D1995="","",IFERROR(INDEX(Materiali!$C:$C,MATCH(D1995,Materiali!$A:$A,0)),0))</f>
        <v/>
      </c>
      <c r="I1995" s="9" t="str">
        <f aca="false">IF(OR(G1995="",H1995=""),"",IF(F1995="Uscita",-1,1)*G1995*H1995)</f>
        <v/>
      </c>
      <c r="J1995" s="13"/>
      <c r="K1995" s="13"/>
    </row>
    <row r="1996" customFormat="false" ht="15" hidden="false" customHeight="false" outlineLevel="0" collapsed="false">
      <c r="A1996" s="12"/>
      <c r="B1996" s="13"/>
      <c r="C1996" s="13"/>
      <c r="D1996" s="13"/>
      <c r="E1996" s="7" t="str">
        <f aca="false">IF(D1996="","",IFERROR(INDEX(Materiali!$B:$B,MATCH(D1996,Materiali!$A:$A,0)),"codice?"))</f>
        <v/>
      </c>
      <c r="F1996" s="13"/>
      <c r="G1996" s="13"/>
      <c r="H1996" s="9" t="str">
        <f aca="false">IF(D1996="","",IFERROR(INDEX(Materiali!$C:$C,MATCH(D1996,Materiali!$A:$A,0)),0))</f>
        <v/>
      </c>
      <c r="I1996" s="9" t="str">
        <f aca="false">IF(OR(G1996="",H1996=""),"",IF(F1996="Uscita",-1,1)*G1996*H1996)</f>
        <v/>
      </c>
      <c r="J1996" s="13"/>
      <c r="K1996" s="13"/>
    </row>
    <row r="1997" customFormat="false" ht="15" hidden="false" customHeight="false" outlineLevel="0" collapsed="false">
      <c r="A1997" s="12"/>
      <c r="B1997" s="13"/>
      <c r="C1997" s="13"/>
      <c r="D1997" s="13"/>
      <c r="E1997" s="7" t="str">
        <f aca="false">IF(D1997="","",IFERROR(INDEX(Materiali!$B:$B,MATCH(D1997,Materiali!$A:$A,0)),"codice?"))</f>
        <v/>
      </c>
      <c r="F1997" s="13"/>
      <c r="G1997" s="13"/>
      <c r="H1997" s="9" t="str">
        <f aca="false">IF(D1997="","",IFERROR(INDEX(Materiali!$C:$C,MATCH(D1997,Materiali!$A:$A,0)),0))</f>
        <v/>
      </c>
      <c r="I1997" s="9" t="str">
        <f aca="false">IF(OR(G1997="",H1997=""),"",IF(F1997="Uscita",-1,1)*G1997*H1997)</f>
        <v/>
      </c>
      <c r="J1997" s="13"/>
      <c r="K1997" s="13"/>
    </row>
    <row r="1998" customFormat="false" ht="15" hidden="false" customHeight="false" outlineLevel="0" collapsed="false">
      <c r="A1998" s="12"/>
      <c r="B1998" s="13"/>
      <c r="C1998" s="13"/>
      <c r="D1998" s="13"/>
      <c r="E1998" s="7" t="str">
        <f aca="false">IF(D1998="","",IFERROR(INDEX(Materiali!$B:$B,MATCH(D1998,Materiali!$A:$A,0)),"codice?"))</f>
        <v/>
      </c>
      <c r="F1998" s="13"/>
      <c r="G1998" s="13"/>
      <c r="H1998" s="9" t="str">
        <f aca="false">IF(D1998="","",IFERROR(INDEX(Materiali!$C:$C,MATCH(D1998,Materiali!$A:$A,0)),0))</f>
        <v/>
      </c>
      <c r="I1998" s="9" t="str">
        <f aca="false">IF(OR(G1998="",H1998=""),"",IF(F1998="Uscita",-1,1)*G1998*H1998)</f>
        <v/>
      </c>
      <c r="J1998" s="13"/>
      <c r="K1998" s="13"/>
    </row>
    <row r="1999" customFormat="false" ht="15" hidden="false" customHeight="false" outlineLevel="0" collapsed="false">
      <c r="A1999" s="12"/>
      <c r="B1999" s="13"/>
      <c r="C1999" s="13"/>
      <c r="D1999" s="13"/>
      <c r="E1999" s="7" t="str">
        <f aca="false">IF(D1999="","",IFERROR(INDEX(Materiali!$B:$B,MATCH(D1999,Materiali!$A:$A,0)),"codice?"))</f>
        <v/>
      </c>
      <c r="F1999" s="13"/>
      <c r="G1999" s="13"/>
      <c r="H1999" s="9" t="str">
        <f aca="false">IF(D1999="","",IFERROR(INDEX(Materiali!$C:$C,MATCH(D1999,Materiali!$A:$A,0)),0))</f>
        <v/>
      </c>
      <c r="I1999" s="9" t="str">
        <f aca="false">IF(OR(G1999="",H1999=""),"",IF(F1999="Uscita",-1,1)*G1999*H1999)</f>
        <v/>
      </c>
      <c r="J1999" s="13"/>
      <c r="K1999" s="13"/>
    </row>
    <row r="2000" customFormat="false" ht="15" hidden="false" customHeight="false" outlineLevel="0" collapsed="false">
      <c r="A2000" s="12"/>
      <c r="B2000" s="13"/>
      <c r="C2000" s="13"/>
      <c r="D2000" s="13"/>
      <c r="E2000" s="7" t="str">
        <f aca="false">IF(D2000="","",IFERROR(INDEX(Materiali!$B:$B,MATCH(D2000,Materiali!$A:$A,0)),"codice?"))</f>
        <v/>
      </c>
      <c r="F2000" s="13"/>
      <c r="G2000" s="13"/>
      <c r="H2000" s="9" t="str">
        <f aca="false">IF(D2000="","",IFERROR(INDEX(Materiali!$C:$C,MATCH(D2000,Materiali!$A:$A,0)),0))</f>
        <v/>
      </c>
      <c r="I2000" s="9" t="str">
        <f aca="false">IF(OR(G2000="",H2000=""),"",IF(F2000="Uscita",-1,1)*G2000*H2000)</f>
        <v/>
      </c>
      <c r="J2000" s="13"/>
      <c r="K2000" s="13"/>
    </row>
    <row r="2001" customFormat="false" ht="15" hidden="false" customHeight="false" outlineLevel="0" collapsed="false">
      <c r="A2001" s="12"/>
      <c r="B2001" s="13"/>
      <c r="C2001" s="13"/>
      <c r="D2001" s="13"/>
      <c r="E2001" s="7" t="str">
        <f aca="false">IF(D2001="","",IFERROR(INDEX(Materiali!$B:$B,MATCH(D2001,Materiali!$A:$A,0)),"codice?"))</f>
        <v/>
      </c>
      <c r="F2001" s="13"/>
      <c r="G2001" s="13"/>
      <c r="H2001" s="9" t="str">
        <f aca="false">IF(D2001="","",IFERROR(INDEX(Materiali!$C:$C,MATCH(D2001,Materiali!$A:$A,0)),0))</f>
        <v/>
      </c>
      <c r="I2001" s="9" t="str">
        <f aca="false">IF(OR(G2001="",H2001=""),"",IF(F2001="Uscita",-1,1)*G2001*H2001)</f>
        <v/>
      </c>
      <c r="J2001" s="13"/>
      <c r="K2001" s="13"/>
    </row>
  </sheetData>
  <dataValidations count="3">
    <dataValidation allowBlank="true" errorStyle="stop" operator="between" showDropDown="false" showErrorMessage="false" showInputMessage="false" sqref="C2:C2001" type="list">
      <formula1>Situazione!$A$6:$A$11</formula1>
      <formula2>0</formula2>
    </dataValidation>
    <dataValidation allowBlank="true" errorStyle="stop" operator="between" showDropDown="false" showErrorMessage="false" showInputMessage="false" sqref="D2:D2001" type="list">
      <formula1>Materiali!$A$2:$A$60</formula1>
      <formula2>0</formula2>
    </dataValidation>
    <dataValidation allowBlank="true" errorStyle="stop" operator="between" showDropDown="false" showErrorMessage="false" showInputMessage="false" sqref="F2:F2001" type="list">
      <formula1>"Entrata,Uscita"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5" t="s">
        <v>25</v>
      </c>
      <c r="B1" s="5" t="s">
        <v>33</v>
      </c>
      <c r="C1" s="5" t="s">
        <v>34</v>
      </c>
      <c r="D1" s="5" t="s">
        <v>35</v>
      </c>
    </row>
    <row r="2" customFormat="false" ht="15" hidden="false" customHeight="false" outlineLevel="0" collapsed="false">
      <c r="A2" s="13" t="s">
        <v>36</v>
      </c>
      <c r="B2" s="13" t="s">
        <v>37</v>
      </c>
      <c r="C2" s="8" t="n">
        <v>394</v>
      </c>
      <c r="D2" s="13" t="s">
        <v>38</v>
      </c>
    </row>
    <row r="3" customFormat="false" ht="15" hidden="false" customHeight="false" outlineLevel="0" collapsed="false">
      <c r="A3" s="13" t="s">
        <v>39</v>
      </c>
      <c r="B3" s="13" t="s">
        <v>40</v>
      </c>
      <c r="C3" s="8" t="n">
        <v>797</v>
      </c>
      <c r="D3" s="13" t="s">
        <v>38</v>
      </c>
    </row>
    <row r="4" customFormat="false" ht="15" hidden="false" customHeight="false" outlineLevel="0" collapsed="false">
      <c r="A4" s="13" t="s">
        <v>41</v>
      </c>
      <c r="B4" s="13" t="s">
        <v>42</v>
      </c>
      <c r="C4" s="8" t="n">
        <v>761</v>
      </c>
      <c r="D4" s="13" t="s">
        <v>38</v>
      </c>
    </row>
    <row r="5" customFormat="false" ht="15" hidden="false" customHeight="false" outlineLevel="0" collapsed="false">
      <c r="A5" s="13" t="s">
        <v>43</v>
      </c>
      <c r="B5" s="13" t="s">
        <v>44</v>
      </c>
      <c r="C5" s="8" t="n">
        <v>1055</v>
      </c>
      <c r="D5" s="13" t="s">
        <v>45</v>
      </c>
    </row>
    <row r="6" customFormat="false" ht="15" hidden="false" customHeight="false" outlineLevel="0" collapsed="false">
      <c r="A6" s="13" t="s">
        <v>46</v>
      </c>
      <c r="B6" s="13" t="s">
        <v>47</v>
      </c>
      <c r="C6" s="8" t="n">
        <v>1040</v>
      </c>
      <c r="D6" s="13" t="s">
        <v>45</v>
      </c>
    </row>
    <row r="7" customFormat="false" ht="15" hidden="false" customHeight="false" outlineLevel="0" collapsed="false">
      <c r="A7" s="13" t="s">
        <v>48</v>
      </c>
      <c r="B7" s="13" t="s">
        <v>49</v>
      </c>
      <c r="C7" s="8" t="n">
        <v>1968</v>
      </c>
      <c r="D7" s="13" t="s">
        <v>45</v>
      </c>
    </row>
    <row r="8" customFormat="false" ht="15" hidden="false" customHeight="false" outlineLevel="0" collapsed="false">
      <c r="A8" s="13" t="s">
        <v>50</v>
      </c>
      <c r="B8" s="13" t="s">
        <v>51</v>
      </c>
      <c r="C8" s="8" t="n">
        <v>1160</v>
      </c>
      <c r="D8" s="13" t="s">
        <v>45</v>
      </c>
    </row>
    <row r="9" customFormat="false" ht="15" hidden="false" customHeight="false" outlineLevel="0" collapsed="false">
      <c r="A9" s="13"/>
      <c r="B9" s="13"/>
      <c r="C9" s="8"/>
      <c r="D9" s="13"/>
    </row>
    <row r="10" customFormat="false" ht="15" hidden="false" customHeight="false" outlineLevel="0" collapsed="false">
      <c r="A10" s="13"/>
      <c r="B10" s="13"/>
      <c r="C10" s="8"/>
      <c r="D10" s="13"/>
    </row>
    <row r="11" customFormat="false" ht="15" hidden="false" customHeight="false" outlineLevel="0" collapsed="false">
      <c r="A11" s="13"/>
      <c r="B11" s="13"/>
      <c r="C11" s="8"/>
      <c r="D11" s="13"/>
    </row>
    <row r="12" customFormat="false" ht="15" hidden="false" customHeight="false" outlineLevel="0" collapsed="false">
      <c r="A12" s="13"/>
      <c r="B12" s="13"/>
      <c r="C12" s="8"/>
      <c r="D12" s="13"/>
    </row>
    <row r="13" customFormat="false" ht="15" hidden="false" customHeight="false" outlineLevel="0" collapsed="false">
      <c r="A13" s="13"/>
      <c r="B13" s="13"/>
      <c r="C13" s="8"/>
      <c r="D13" s="13"/>
    </row>
    <row r="14" customFormat="false" ht="15" hidden="false" customHeight="false" outlineLevel="0" collapsed="false">
      <c r="A14" s="13"/>
      <c r="B14" s="13"/>
      <c r="C14" s="8"/>
      <c r="D14" s="13"/>
    </row>
    <row r="15" customFormat="false" ht="15" hidden="false" customHeight="false" outlineLevel="0" collapsed="false">
      <c r="A15" s="13"/>
      <c r="B15" s="13"/>
      <c r="C15" s="8"/>
      <c r="D15" s="13"/>
    </row>
    <row r="16" customFormat="false" ht="15" hidden="false" customHeight="false" outlineLevel="0" collapsed="false">
      <c r="A16" s="13"/>
      <c r="B16" s="13"/>
      <c r="C16" s="8"/>
      <c r="D16" s="13"/>
    </row>
    <row r="17" customFormat="false" ht="15" hidden="false" customHeight="false" outlineLevel="0" collapsed="false">
      <c r="A17" s="13"/>
      <c r="B17" s="13"/>
      <c r="C17" s="8"/>
      <c r="D17" s="13"/>
    </row>
    <row r="18" customFormat="false" ht="15" hidden="false" customHeight="false" outlineLevel="0" collapsed="false">
      <c r="A18" s="13"/>
      <c r="B18" s="13"/>
      <c r="C18" s="8"/>
      <c r="D18" s="13"/>
    </row>
    <row r="19" customFormat="false" ht="15" hidden="false" customHeight="false" outlineLevel="0" collapsed="false">
      <c r="A19" s="13"/>
      <c r="B19" s="13"/>
      <c r="C19" s="8"/>
      <c r="D19" s="13"/>
    </row>
    <row r="20" customFormat="false" ht="15" hidden="false" customHeight="false" outlineLevel="0" collapsed="false">
      <c r="A20" s="13"/>
      <c r="B20" s="13"/>
      <c r="C20" s="8"/>
      <c r="D20" s="13"/>
    </row>
    <row r="21" customFormat="false" ht="15" hidden="false" customHeight="false" outlineLevel="0" collapsed="false">
      <c r="A21" s="13"/>
      <c r="B21" s="13"/>
      <c r="C21" s="8"/>
      <c r="D21" s="13"/>
    </row>
    <row r="22" customFormat="false" ht="15" hidden="false" customHeight="false" outlineLevel="0" collapsed="false">
      <c r="A22" s="13"/>
      <c r="B22" s="13"/>
      <c r="C22" s="8"/>
      <c r="D22" s="13"/>
    </row>
    <row r="23" customFormat="false" ht="15" hidden="false" customHeight="false" outlineLevel="0" collapsed="false">
      <c r="A23" s="13"/>
      <c r="B23" s="13"/>
      <c r="C23" s="8"/>
      <c r="D23" s="13"/>
    </row>
    <row r="24" customFormat="false" ht="15" hidden="false" customHeight="false" outlineLevel="0" collapsed="false">
      <c r="A24" s="13"/>
      <c r="B24" s="13"/>
      <c r="C24" s="8"/>
      <c r="D24" s="13"/>
    </row>
    <row r="25" customFormat="false" ht="15" hidden="false" customHeight="false" outlineLevel="0" collapsed="false">
      <c r="A25" s="13"/>
      <c r="B25" s="13"/>
      <c r="C25" s="8"/>
      <c r="D25" s="13"/>
    </row>
    <row r="26" customFormat="false" ht="15" hidden="false" customHeight="false" outlineLevel="0" collapsed="false">
      <c r="A26" s="13"/>
      <c r="B26" s="13"/>
      <c r="C26" s="8"/>
      <c r="D26" s="13"/>
    </row>
    <row r="27" customFormat="false" ht="15" hidden="false" customHeight="false" outlineLevel="0" collapsed="false">
      <c r="A27" s="13"/>
      <c r="B27" s="13"/>
      <c r="C27" s="8"/>
      <c r="D27" s="13"/>
    </row>
    <row r="28" customFormat="false" ht="15" hidden="false" customHeight="false" outlineLevel="0" collapsed="false">
      <c r="A28" s="13"/>
      <c r="B28" s="13"/>
      <c r="C28" s="8"/>
      <c r="D28" s="13"/>
    </row>
    <row r="29" customFormat="false" ht="15" hidden="false" customHeight="false" outlineLevel="0" collapsed="false">
      <c r="A29" s="13"/>
      <c r="B29" s="13"/>
      <c r="C29" s="8"/>
      <c r="D29" s="13"/>
    </row>
    <row r="30" customFormat="false" ht="15" hidden="false" customHeight="false" outlineLevel="0" collapsed="false">
      <c r="A30" s="13"/>
      <c r="B30" s="13"/>
      <c r="C30" s="8"/>
      <c r="D30" s="13"/>
    </row>
    <row r="31" customFormat="false" ht="15" hidden="false" customHeight="false" outlineLevel="0" collapsed="false">
      <c r="A31" s="13"/>
      <c r="B31" s="13"/>
      <c r="C31" s="8"/>
      <c r="D31" s="13"/>
    </row>
    <row r="32" customFormat="false" ht="15" hidden="false" customHeight="false" outlineLevel="0" collapsed="false">
      <c r="A32" s="13"/>
      <c r="B32" s="13"/>
      <c r="C32" s="8"/>
      <c r="D32" s="13"/>
    </row>
    <row r="33" customFormat="false" ht="15" hidden="false" customHeight="false" outlineLevel="0" collapsed="false">
      <c r="A33" s="13"/>
      <c r="B33" s="13"/>
      <c r="C33" s="8"/>
      <c r="D33" s="13"/>
    </row>
    <row r="34" customFormat="false" ht="15" hidden="false" customHeight="false" outlineLevel="0" collapsed="false">
      <c r="A34" s="13"/>
      <c r="B34" s="13"/>
      <c r="C34" s="8"/>
      <c r="D34" s="13"/>
    </row>
    <row r="35" customFormat="false" ht="15" hidden="false" customHeight="false" outlineLevel="0" collapsed="false">
      <c r="A35" s="13"/>
      <c r="B35" s="13"/>
      <c r="C35" s="8"/>
      <c r="D35" s="13"/>
    </row>
    <row r="36" customFormat="false" ht="15" hidden="false" customHeight="false" outlineLevel="0" collapsed="false">
      <c r="A36" s="13"/>
      <c r="B36" s="13"/>
      <c r="C36" s="8"/>
      <c r="D36" s="13"/>
    </row>
    <row r="37" customFormat="false" ht="15" hidden="false" customHeight="false" outlineLevel="0" collapsed="false">
      <c r="A37" s="13"/>
      <c r="B37" s="13"/>
      <c r="C37" s="8"/>
      <c r="D37" s="13"/>
    </row>
    <row r="38" customFormat="false" ht="15" hidden="false" customHeight="false" outlineLevel="0" collapsed="false">
      <c r="A38" s="13"/>
      <c r="B38" s="13"/>
      <c r="C38" s="8"/>
      <c r="D38" s="13"/>
    </row>
    <row r="39" customFormat="false" ht="15" hidden="false" customHeight="false" outlineLevel="0" collapsed="false">
      <c r="A39" s="13"/>
      <c r="B39" s="13"/>
      <c r="C39" s="8"/>
      <c r="D39" s="13"/>
    </row>
    <row r="40" customFormat="false" ht="15" hidden="false" customHeight="false" outlineLevel="0" collapsed="false">
      <c r="A40" s="13"/>
      <c r="B40" s="13"/>
      <c r="C40" s="8"/>
      <c r="D40" s="13"/>
    </row>
    <row r="41" customFormat="false" ht="15" hidden="false" customHeight="false" outlineLevel="0" collapsed="false">
      <c r="A41" s="13"/>
      <c r="B41" s="13"/>
      <c r="C41" s="8"/>
      <c r="D41" s="13"/>
    </row>
    <row r="42" customFormat="false" ht="15" hidden="false" customHeight="false" outlineLevel="0" collapsed="false">
      <c r="A42" s="13"/>
      <c r="B42" s="13"/>
      <c r="C42" s="8"/>
      <c r="D42" s="13"/>
    </row>
    <row r="43" customFormat="false" ht="15" hidden="false" customHeight="false" outlineLevel="0" collapsed="false">
      <c r="A43" s="13"/>
      <c r="B43" s="13"/>
      <c r="C43" s="8"/>
      <c r="D43" s="13"/>
    </row>
    <row r="44" customFormat="false" ht="15" hidden="false" customHeight="false" outlineLevel="0" collapsed="false">
      <c r="A44" s="13"/>
      <c r="B44" s="13"/>
      <c r="C44" s="8"/>
      <c r="D44" s="13"/>
    </row>
    <row r="45" customFormat="false" ht="15" hidden="false" customHeight="false" outlineLevel="0" collapsed="false">
      <c r="A45" s="13"/>
      <c r="B45" s="13"/>
      <c r="C45" s="8"/>
      <c r="D45" s="13"/>
    </row>
    <row r="46" customFormat="false" ht="15" hidden="false" customHeight="false" outlineLevel="0" collapsed="false">
      <c r="A46" s="13"/>
      <c r="B46" s="13"/>
      <c r="C46" s="8"/>
      <c r="D46" s="13"/>
    </row>
    <row r="47" customFormat="false" ht="15" hidden="false" customHeight="false" outlineLevel="0" collapsed="false">
      <c r="A47" s="13"/>
      <c r="B47" s="13"/>
      <c r="C47" s="8"/>
      <c r="D47" s="13"/>
    </row>
    <row r="48" customFormat="false" ht="15" hidden="false" customHeight="false" outlineLevel="0" collapsed="false">
      <c r="A48" s="13"/>
      <c r="B48" s="13"/>
      <c r="C48" s="8"/>
      <c r="D48" s="13"/>
    </row>
    <row r="49" customFormat="false" ht="15" hidden="false" customHeight="false" outlineLevel="0" collapsed="false">
      <c r="A49" s="13"/>
      <c r="B49" s="13"/>
      <c r="C49" s="8"/>
      <c r="D49" s="13"/>
    </row>
    <row r="50" customFormat="false" ht="15" hidden="false" customHeight="false" outlineLevel="0" collapsed="false">
      <c r="A50" s="13"/>
      <c r="B50" s="13"/>
      <c r="C50" s="8"/>
      <c r="D50" s="13"/>
    </row>
    <row r="51" customFormat="false" ht="15" hidden="false" customHeight="false" outlineLevel="0" collapsed="false">
      <c r="A51" s="13"/>
      <c r="B51" s="13"/>
      <c r="C51" s="8"/>
      <c r="D51" s="13"/>
    </row>
    <row r="52" customFormat="false" ht="15" hidden="false" customHeight="false" outlineLevel="0" collapsed="false">
      <c r="A52" s="13"/>
      <c r="B52" s="13"/>
      <c r="C52" s="8"/>
      <c r="D52" s="13"/>
    </row>
    <row r="53" customFormat="false" ht="15" hidden="false" customHeight="false" outlineLevel="0" collapsed="false">
      <c r="A53" s="13"/>
      <c r="B53" s="13"/>
      <c r="C53" s="8"/>
      <c r="D53" s="13"/>
    </row>
    <row r="54" customFormat="false" ht="15" hidden="false" customHeight="false" outlineLevel="0" collapsed="false">
      <c r="A54" s="13"/>
      <c r="B54" s="13"/>
      <c r="C54" s="8"/>
      <c r="D54" s="13"/>
    </row>
    <row r="55" customFormat="false" ht="15" hidden="false" customHeight="false" outlineLevel="0" collapsed="false">
      <c r="A55" s="13"/>
      <c r="B55" s="13"/>
      <c r="C55" s="8"/>
      <c r="D55" s="13"/>
    </row>
    <row r="56" customFormat="false" ht="15" hidden="false" customHeight="false" outlineLevel="0" collapsed="false">
      <c r="A56" s="13"/>
      <c r="B56" s="13"/>
      <c r="C56" s="8"/>
      <c r="D56" s="13"/>
    </row>
    <row r="57" customFormat="false" ht="15" hidden="false" customHeight="false" outlineLevel="0" collapsed="false">
      <c r="A57" s="13"/>
      <c r="B57" s="13"/>
      <c r="C57" s="8"/>
      <c r="D57" s="13"/>
    </row>
    <row r="58" customFormat="false" ht="15" hidden="false" customHeight="false" outlineLevel="0" collapsed="false">
      <c r="A58" s="13"/>
      <c r="B58" s="13"/>
      <c r="C58" s="8"/>
      <c r="D58" s="13"/>
    </row>
    <row r="59" customFormat="false" ht="15" hidden="false" customHeight="false" outlineLevel="0" collapsed="false">
      <c r="A59" s="13"/>
      <c r="B59" s="13"/>
      <c r="C59" s="8"/>
      <c r="D59" s="13"/>
    </row>
    <row r="60" customFormat="false" ht="15" hidden="false" customHeight="false" outlineLevel="0" collapsed="false">
      <c r="A60" s="13"/>
      <c r="B60" s="13"/>
      <c r="C60" s="8"/>
      <c r="D6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2026-10-22T11:14:11Z</dcterms:created>
  <dc:creator>openpyxl</dc:creator>
  <dc:description/>
  <dc:language>en-US</dc:language>
  <cp:lastModifiedBy/>
  <dcterms:modified xsi:type="dcterms:W3CDTF">2026-10-22T11:14:13Z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